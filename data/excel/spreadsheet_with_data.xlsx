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ffinity\1. Projekte - Clients_Prospects\Kunde\Kunde\John Deere\Datenaustauschliste für HDI\"/>
    </mc:Choice>
  </mc:AlternateContent>
  <xr:revisionPtr revIDLastSave="0" documentId="8_{49DA5F51-3EB5-4915-8738-1EDD3D470D4E}" xr6:coauthVersionLast="47" xr6:coauthVersionMax="47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Prämie bis Jahresende" sheetId="5" r:id="rId1"/>
    <sheet name="Data" sheetId="1" r:id="rId2"/>
  </sheets>
  <definedNames>
    <definedName name="_xlnm._FilterDatabase" localSheetId="1" hidden="1">Data!$O$1:$O$3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1" l="1"/>
  <c r="AA18" i="1" s="1"/>
  <c r="AB18" i="1" s="1"/>
  <c r="X19" i="1"/>
  <c r="AN19" i="1" s="1"/>
  <c r="X17" i="1"/>
  <c r="Y17" i="1" s="1"/>
  <c r="X16" i="1"/>
  <c r="Y16" i="1" s="1"/>
  <c r="X14" i="1"/>
  <c r="Y14" i="1" s="1"/>
  <c r="X15" i="1"/>
  <c r="AA15" i="1" s="1"/>
  <c r="AB15" i="1" s="1"/>
  <c r="X9" i="1"/>
  <c r="Y9" i="1" s="1"/>
  <c r="X10" i="1"/>
  <c r="Y10" i="1" s="1"/>
  <c r="X11" i="1"/>
  <c r="AN11" i="1" s="1"/>
  <c r="X12" i="1"/>
  <c r="AN12" i="1" s="1"/>
  <c r="X13" i="1"/>
  <c r="AA13" i="1" s="1"/>
  <c r="AB13" i="1" s="1"/>
  <c r="X8" i="1"/>
  <c r="AN8" i="1" s="1"/>
  <c r="X7" i="1"/>
  <c r="AN7" i="1" s="1"/>
  <c r="X6" i="1"/>
  <c r="AA6" i="1" s="1"/>
  <c r="AB6" i="1" s="1"/>
  <c r="X5" i="1"/>
  <c r="AN5" i="1" s="1"/>
  <c r="Y5" i="1"/>
  <c r="X4" i="1"/>
  <c r="Y4" i="1" s="1"/>
  <c r="X3" i="1"/>
  <c r="AN3" i="1" s="1"/>
  <c r="X2" i="1"/>
  <c r="Y2" i="1" s="1"/>
  <c r="AA3" i="1" l="1"/>
  <c r="AB3" i="1" s="1"/>
  <c r="AA14" i="1"/>
  <c r="AB14" i="1" s="1"/>
  <c r="Y3" i="1"/>
  <c r="AN9" i="1"/>
  <c r="AN14" i="1"/>
  <c r="AA19" i="1"/>
  <c r="AB19" i="1" s="1"/>
  <c r="Y19" i="1"/>
  <c r="AA10" i="1"/>
  <c r="AB10" i="1" s="1"/>
  <c r="Y6" i="1"/>
  <c r="AA12" i="1"/>
  <c r="AB12" i="1" s="1"/>
  <c r="AN6" i="1"/>
  <c r="AA4" i="1"/>
  <c r="AB4" i="1" s="1"/>
  <c r="AN10" i="1"/>
  <c r="AN18" i="1"/>
  <c r="AA9" i="1"/>
  <c r="AB9" i="1" s="1"/>
  <c r="AN4" i="1"/>
  <c r="Y13" i="1"/>
  <c r="AA2" i="1"/>
  <c r="AB2" i="1" s="1"/>
  <c r="Y7" i="1"/>
  <c r="AN2" i="1"/>
  <c r="Y12" i="1"/>
  <c r="AA5" i="1"/>
  <c r="AB5" i="1" s="1"/>
  <c r="AN13" i="1"/>
  <c r="Y11" i="1"/>
  <c r="AA7" i="1"/>
  <c r="AB7" i="1" s="1"/>
  <c r="Y8" i="1"/>
  <c r="AA8" i="1"/>
  <c r="AB8" i="1" s="1"/>
  <c r="AA11" i="1"/>
  <c r="AB11" i="1" s="1"/>
  <c r="AA17" i="1"/>
  <c r="AB17" i="1" s="1"/>
  <c r="Y15" i="1"/>
  <c r="Y18" i="1"/>
  <c r="AN15" i="1"/>
  <c r="AA16" i="1"/>
  <c r="AB16" i="1" s="1"/>
  <c r="AN17" i="1"/>
  <c r="AN16" i="1"/>
</calcChain>
</file>

<file path=xl/sharedStrings.xml><?xml version="1.0" encoding="utf-8"?>
<sst xmlns="http://schemas.openxmlformats.org/spreadsheetml/2006/main" count="504" uniqueCount="101">
  <si>
    <t>PLZ</t>
  </si>
  <si>
    <t>Ort</t>
  </si>
  <si>
    <t>Hnr.</t>
  </si>
  <si>
    <t>Änderungsdatum</t>
  </si>
  <si>
    <t>Änderungsgrund</t>
  </si>
  <si>
    <t>IBAN</t>
  </si>
  <si>
    <t>BIC</t>
  </si>
  <si>
    <t>Bankname</t>
  </si>
  <si>
    <t>Firmenname</t>
  </si>
  <si>
    <t>Rechtsform</t>
  </si>
  <si>
    <t>E-Mail</t>
  </si>
  <si>
    <t>Telefon</t>
  </si>
  <si>
    <t>Finanzierungs-/Leasing-Projekt-Nr.</t>
  </si>
  <si>
    <t>Vorsteuerabzugs-berechtigt</t>
  </si>
  <si>
    <t>Name des Zahlers, falls abweichend vom Ansprechpartner</t>
  </si>
  <si>
    <t>Vorname des Ansprechpartners</t>
  </si>
  <si>
    <t>Nachname des Ansprechpartners</t>
  </si>
  <si>
    <t>Modell der Maschine plus Anbauten</t>
  </si>
  <si>
    <t>Hersteller</t>
  </si>
  <si>
    <t>Baujahr</t>
  </si>
  <si>
    <t>Netto-Neupreis (wenn vorsteuerabzugs-berechtigt)</t>
  </si>
  <si>
    <t>Brutto-Neupreis (wenn nicht vorsteuerabzugs-berechtigt)</t>
  </si>
  <si>
    <t>Beitragssatz</t>
  </si>
  <si>
    <t>Jahresbeitrag (Netto)</t>
  </si>
  <si>
    <t>Jahresbeitrag (Brutto)</t>
  </si>
  <si>
    <t>Fälligkeit</t>
  </si>
  <si>
    <t>Selbstbehalt</t>
  </si>
  <si>
    <t>Beginn Versicherungsschutz / Start der Finanzierung</t>
  </si>
  <si>
    <t>Ablauf Versicherungsschutz / Ende der Finanzierung</t>
  </si>
  <si>
    <t>Aktivierung der Finanzierung / (genhemigt oder abgelehnt)</t>
  </si>
  <si>
    <t>Seriennummer</t>
  </si>
  <si>
    <t>Due date</t>
  </si>
  <si>
    <t>Neue oder gebrauchte Maschine</t>
  </si>
  <si>
    <t>Straße</t>
  </si>
  <si>
    <t>Maschinentyp (Traktor, Mähdrescher, Feldhäcksler oder sontige Geräte)</t>
  </si>
  <si>
    <t>Zahlweise (Jährlich)</t>
  </si>
  <si>
    <t>Beitrag monatlich (Netto) (wenn vorsteuerabzugs-berechtigt)</t>
  </si>
  <si>
    <t>Beitrag monatlich (Brutto) (wenn nicht vorsteuerabzugs-berechtigt)</t>
  </si>
  <si>
    <t>Vorzeitige Kreditablösung</t>
  </si>
  <si>
    <t>Köhl Harvest Agrar</t>
  </si>
  <si>
    <t>Nick</t>
  </si>
  <si>
    <t>Köhl</t>
  </si>
  <si>
    <t>Graßahof</t>
  </si>
  <si>
    <t>Deining</t>
  </si>
  <si>
    <t>buero@koehl-harvest.de</t>
  </si>
  <si>
    <t>na</t>
  </si>
  <si>
    <t>John Deere</t>
  </si>
  <si>
    <t>ja</t>
  </si>
  <si>
    <t>Feldhäcksler</t>
  </si>
  <si>
    <t>Neu</t>
  </si>
  <si>
    <t>John Deere 9500 SPFH
John Deere 639
John Deere Kemper 490
John Deere Kemper Fahrwerk 400F</t>
  </si>
  <si>
    <t>2024
2024
2024
2024</t>
  </si>
  <si>
    <t>Jährlich</t>
  </si>
  <si>
    <t>Grand Total</t>
  </si>
  <si>
    <t>Total</t>
  </si>
  <si>
    <t>(All)</t>
  </si>
  <si>
    <t>Marsh Vertragsnummer</t>
  </si>
  <si>
    <t>Prämie Jahr 1</t>
  </si>
  <si>
    <t>na
na
na
na</t>
  </si>
  <si>
    <t>John Deere 6R 185</t>
  </si>
  <si>
    <t>1L06185RKRR422340</t>
  </si>
  <si>
    <t>1L06185RKRR422998</t>
  </si>
  <si>
    <t>1L06185RJRR422341</t>
  </si>
  <si>
    <t>1L06185RERR423269</t>
  </si>
  <si>
    <t>1L06185RERR423420</t>
  </si>
  <si>
    <t>Mähdrescher</t>
  </si>
  <si>
    <t>John Deere T670 HM
John Deere 730X
Thalhammer Sww</t>
  </si>
  <si>
    <t>na
na
na</t>
  </si>
  <si>
    <t>2024
2024
2024</t>
  </si>
  <si>
    <t>John Deere T560 HM
John Deere 725X
Thalhammer Sww</t>
  </si>
  <si>
    <t>Köhl Harvest</t>
  </si>
  <si>
    <t>GmbH</t>
  </si>
  <si>
    <t>Biaser Straße</t>
  </si>
  <si>
    <t>Zerbst/Anhalt</t>
  </si>
  <si>
    <t>Ja</t>
  </si>
  <si>
    <t>GbR</t>
  </si>
  <si>
    <t>Kett Agrarservice</t>
  </si>
  <si>
    <t>Endsee</t>
  </si>
  <si>
    <t>Steinsfeld</t>
  </si>
  <si>
    <t>John Deere 8500 SPFH
John Deere 639
John Deere Kemper 490
John Deere Kemper Fahrwerk 400F</t>
  </si>
  <si>
    <t xml:space="preserve">eberhard@kett-lohnunternehmen.de </t>
  </si>
  <si>
    <t>1Z0T670BART141030
1Z0730EXJRR071429
WEGTP1222R24Z1209</t>
  </si>
  <si>
    <t xml:space="preserve">17.06.2024
</t>
  </si>
  <si>
    <t>Sum of Prämie Jahr 1</t>
  </si>
  <si>
    <t>B-Number</t>
  </si>
  <si>
    <t>668020</t>
  </si>
  <si>
    <t>1Z09500YLRU625302
1KM0639GERR145214
1KMA490GERR145658
1KM400FGCRR145700</t>
  </si>
  <si>
    <t>DE16 7602 0070 0031 0627 64</t>
  </si>
  <si>
    <t>HYPO NM</t>
  </si>
  <si>
    <t>1Z09500YHRU625317
1KM0639GTRR145216
1KM0490GEPP143378
1KM400FGPPP143403</t>
  </si>
  <si>
    <t>1Z09500YLRU625316
1KM0639GCRR145182
1KMA490GHRR145657
1KM400FGERR145705</t>
  </si>
  <si>
    <t>1KM0639GPRR145217
1Z09500YHRU625320
1KMA490GTRR145677
1KM400FGVRR145701</t>
  </si>
  <si>
    <t>1Z09500YERU625321
1KM0639GHRR145244
1KMA490GVRR145718
1KM400FGCRR145740</t>
  </si>
  <si>
    <t>1Z09500YTRU625323
1KM0639GLRR145212
1KMA490GCRR145670
1KM400FGCRR145706</t>
  </si>
  <si>
    <t>1Z09500YVRU625460
1KM0639GCRR145514
1KMA490GJRR145750
1KM400FGLRR145815</t>
  </si>
  <si>
    <t>1Z09500YVRU625460
1KM0639GTRR145359
1KMA490GHRR145691
1KM400FGVRR145665</t>
  </si>
  <si>
    <t>1Z09500YTRU625449
1KM0639GJRR145513
na
na</t>
  </si>
  <si>
    <t>1Z09500YPRU625419
1KM0639GJRR145446
1KMA490GERR145711
1KM400FGTRR145707</t>
  </si>
  <si>
    <t>DE45 6545 0070 0008 6972 95</t>
  </si>
  <si>
    <t>KSK Biberach</t>
  </si>
  <si>
    <t xml:space="preserve">01.06.2029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</si>
</sst>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top"/>
    </xf>
    <xf numFmtId="44" fontId="1" fillId="0" borderId="0" applyFont="0" applyFill="0" applyBorder="0" applyAlignment="0" applyProtection="0">
      <alignment vertical="top"/>
    </xf>
    <xf numFmtId="0" fontId="6" fillId="0" borderId="0"/>
  </cellStyleXfs>
  <cellXfs count="40">
    <xf numFmtId="0" fontId="0" fillId="0" borderId="0" xfId="0">
      <alignment vertical="top"/>
    </xf>
    <xf numFmtId="0" fontId="0" fillId="0" borderId="0" xfId="0" applyAlignment="1"/>
    <xf numFmtId="0" fontId="3" fillId="2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3" borderId="0" xfId="0" applyFont="1" applyFill="1">
      <alignment vertical="top"/>
    </xf>
    <xf numFmtId="0" fontId="1" fillId="0" borderId="0" xfId="0" applyFont="1" applyAlignment="1"/>
    <xf numFmtId="44" fontId="1" fillId="0" borderId="0" xfId="1" applyFont="1" applyFill="1" applyBorder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>
      <alignment vertical="top"/>
    </xf>
    <xf numFmtId="44" fontId="1" fillId="0" borderId="0" xfId="1" applyFont="1" applyFill="1" applyBorder="1" applyAlignment="1">
      <alignment vertical="top"/>
    </xf>
    <xf numFmtId="44" fontId="0" fillId="0" borderId="0" xfId="1" applyFont="1" applyFill="1" applyBorder="1" applyAlignment="1">
      <alignment vertical="top"/>
    </xf>
    <xf numFmtId="44" fontId="0" fillId="0" borderId="0" xfId="0" applyNumberFormat="1">
      <alignment vertical="top"/>
    </xf>
    <xf numFmtId="14" fontId="0" fillId="0" borderId="0" xfId="0" applyNumberFormat="1">
      <alignment vertical="top"/>
    </xf>
    <xf numFmtId="0" fontId="0" fillId="0" borderId="1" xfId="0" applyBorder="1">
      <alignment vertical="top"/>
    </xf>
    <xf numFmtId="0" fontId="0" fillId="0" borderId="1" xfId="0" pivotButton="1" applyBorder="1">
      <alignment vertical="top"/>
    </xf>
    <xf numFmtId="0" fontId="0" fillId="0" borderId="2" xfId="0" applyBorder="1">
      <alignment vertical="top"/>
    </xf>
    <xf numFmtId="0" fontId="0" fillId="0" borderId="3" xfId="0" applyBorder="1">
      <alignment vertical="top"/>
    </xf>
    <xf numFmtId="44" fontId="0" fillId="0" borderId="0" xfId="1" applyFont="1" applyAlignment="1">
      <alignment vertical="top"/>
    </xf>
    <xf numFmtId="0" fontId="0" fillId="0" borderId="5" xfId="0" pivotButton="1" applyBorder="1">
      <alignment vertical="top"/>
    </xf>
    <xf numFmtId="0" fontId="0" fillId="0" borderId="5" xfId="0" applyBorder="1">
      <alignment vertical="top"/>
    </xf>
    <xf numFmtId="0" fontId="0" fillId="0" borderId="6" xfId="0" applyBorder="1">
      <alignment vertical="top"/>
    </xf>
    <xf numFmtId="44" fontId="0" fillId="0" borderId="0" xfId="0" applyNumberFormat="1" applyAlignment="1"/>
    <xf numFmtId="0" fontId="5" fillId="0" borderId="0" xfId="0" applyFont="1" applyAlignment="1"/>
    <xf numFmtId="0" fontId="0" fillId="2" borderId="0" xfId="0" applyFill="1">
      <alignment vertical="top"/>
    </xf>
    <xf numFmtId="14" fontId="0" fillId="0" borderId="0" xfId="0" applyNumberFormat="1" applyAlignment="1"/>
    <xf numFmtId="0" fontId="5" fillId="0" borderId="0" xfId="0" applyFont="1" applyAlignment="1">
      <alignment wrapText="1"/>
    </xf>
    <xf numFmtId="44" fontId="0" fillId="0" borderId="0" xfId="1" applyFont="1" applyFill="1" applyBorder="1" applyAlignment="1"/>
    <xf numFmtId="0" fontId="5" fillId="0" borderId="0" xfId="0" applyFont="1">
      <alignment vertical="top"/>
    </xf>
    <xf numFmtId="0" fontId="1" fillId="0" borderId="4" xfId="0" applyFont="1" applyBorder="1" applyAlignment="1"/>
    <xf numFmtId="0" fontId="1" fillId="0" borderId="8" xfId="0" applyFont="1" applyBorder="1" applyAlignment="1">
      <alignment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 wrapText="1"/>
    </xf>
    <xf numFmtId="0" fontId="0" fillId="0" borderId="7" xfId="0" applyBorder="1">
      <alignment vertical="top"/>
    </xf>
    <xf numFmtId="0" fontId="0" fillId="0" borderId="9" xfId="0" applyBorder="1" applyAlignment="1"/>
    <xf numFmtId="14" fontId="0" fillId="0" borderId="0" xfId="0" applyNumberFormat="1" applyAlignment="1">
      <alignment vertical="top" wrapText="1"/>
    </xf>
    <xf numFmtId="14" fontId="5" fillId="0" borderId="0" xfId="0" applyNumberFormat="1" applyFont="1" applyAlignment="1">
      <alignment vertical="top" wrapText="1"/>
    </xf>
    <xf numFmtId="14" fontId="1" fillId="0" borderId="4" xfId="0" applyNumberFormat="1" applyFont="1" applyBorder="1" applyAlignment="1">
      <alignment vertical="top" wrapText="1"/>
    </xf>
    <xf numFmtId="0" fontId="3" fillId="4" borderId="0" xfId="0" applyFont="1" applyFill="1">
      <alignment vertical="top"/>
    </xf>
    <xf numFmtId="0" fontId="3" fillId="4" borderId="0" xfId="0" applyFont="1" applyFill="1" applyAlignment="1">
      <alignment horizontal="left" vertical="top" wrapText="1"/>
    </xf>
  </cellXfs>
  <cellStyles count="3">
    <cellStyle name="Standard" xfId="0" builtinId="0"/>
    <cellStyle name="Standard 2" xfId="2" xr:uid="{00000000-0005-0000-0000-000001000000}"/>
    <cellStyle name="Währung" xfId="1" builtinId="4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</dxf>
    <dxf>
      <numFmt numFmtId="34" formatCode="_-* #,##0.00\ &quot;€&quot;_-;\-* #,##0.00\ &quot;€&quot;_-;_-* &quot;-&quot;??\ &quot;€&quot;_-;_-@_-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d, Frederik" refreshedDate="45498.689858564816" createdVersion="8" refreshedVersion="8" recordCount="18" xr:uid="{00000000-000A-0000-FFFF-FFFF2B000000}">
  <cacheSource type="worksheet">
    <worksheetSource name="Table1"/>
  </cacheSource>
  <cacheFields count="41">
    <cacheField name="Firmenname" numFmtId="0">
      <sharedItems count="4">
        <s v="Köhl Harvest Agrar"/>
        <s v="Köhl Harvest"/>
        <s v="Kett Agrarservice"/>
        <s v="Aleyna" u="1"/>
      </sharedItems>
    </cacheField>
    <cacheField name="Rechtsform" numFmtId="0">
      <sharedItems/>
    </cacheField>
    <cacheField name="Vorname des Ansprechpartners" numFmtId="0">
      <sharedItems/>
    </cacheField>
    <cacheField name="Nachname des Ansprechpartners" numFmtId="0">
      <sharedItems/>
    </cacheField>
    <cacheField name="Straße" numFmtId="0">
      <sharedItems/>
    </cacheField>
    <cacheField name="Hnr." numFmtId="0">
      <sharedItems containsSemiMixedTypes="0" containsString="0" containsNumber="1" containsInteger="1" minValue="4" maxValue="33"/>
    </cacheField>
    <cacheField name="PLZ" numFmtId="0">
      <sharedItems containsSemiMixedTypes="0" containsString="0" containsNumber="1" containsInteger="1" minValue="39261" maxValue="92364"/>
    </cacheField>
    <cacheField name="Ort" numFmtId="0">
      <sharedItems/>
    </cacheField>
    <cacheField name="E-Mail" numFmtId="0">
      <sharedItems/>
    </cacheField>
    <cacheField name="Telefon" numFmtId="0">
      <sharedItems/>
    </cacheField>
    <cacheField name="Finanzierungs-/Leasing-Projekt-Nr." numFmtId="0">
      <sharedItems containsSemiMixedTypes="0" containsString="0" containsNumber="1" containsInteger="1" minValue="665281" maxValue="1681089"/>
    </cacheField>
    <cacheField name="Vorsteuerabzugs-berechtigt" numFmtId="0">
      <sharedItems/>
    </cacheField>
    <cacheField name="Maschinentyp (Traktor, Mähdrescher, Feldhäcksler oder sontige Geräte)" numFmtId="0">
      <sharedItems/>
    </cacheField>
    <cacheField name="Neue oder gebrauchte Maschine" numFmtId="0">
      <sharedItems/>
    </cacheField>
    <cacheField name="Hersteller" numFmtId="0">
      <sharedItems/>
    </cacheField>
    <cacheField name="Modell der Maschine plus Anbauten" numFmtId="0">
      <sharedItems/>
    </cacheField>
    <cacheField name="Seriennummer" numFmtId="0">
      <sharedItems/>
    </cacheField>
    <cacheField name="Baujahr" numFmtId="0">
      <sharedItems containsMixedTypes="1" containsNumber="1" containsInteger="1" minValue="2024" maxValue="2024"/>
    </cacheField>
    <cacheField name="Netto-Neupreis (wenn vorsteuerabzugs-berechtigt)" numFmtId="44">
      <sharedItems containsSemiMixedTypes="0" containsString="0" containsNumber="1" containsInteger="1" minValue="147256" maxValue="549796"/>
    </cacheField>
    <cacheField name="Brutto-Neupreis (wenn nicht vorsteuerabzugs-berechtigt)" numFmtId="0">
      <sharedItems/>
    </cacheField>
    <cacheField name="Selbstbehalt" numFmtId="44">
      <sharedItems containsSemiMixedTypes="0" containsString="0" containsNumber="1" containsInteger="1" minValue="1000" maxValue="5000"/>
    </cacheField>
    <cacheField name="Beitragssatz" numFmtId="0">
      <sharedItems containsSemiMixedTypes="0" containsString="0" containsNumber="1" minValue="7.05" maxValue="10.6"/>
    </cacheField>
    <cacheField name="Jahresbeitrag (Netto)" numFmtId="44">
      <sharedItems containsSemiMixedTypes="0" containsString="0" containsNumber="1" minValue="1038.1548" maxValue="4966.1000000000004"/>
    </cacheField>
    <cacheField name="Jahresbeitrag (Brutto)" numFmtId="44">
      <sharedItems containsSemiMixedTypes="0" containsString="0" containsNumber="1" minValue="1235.4042119999999" maxValue="5909.6590000000006"/>
    </cacheField>
    <cacheField name="Zahlweise (Jährlich)" numFmtId="0">
      <sharedItems/>
    </cacheField>
    <cacheField name="Beitrag monatlich (Netto) (wenn vorsteuerabzugs-berechtigt)" numFmtId="44">
      <sharedItems containsSemiMixedTypes="0" containsString="0" containsNumber="1" minValue="86.512900000000002" maxValue="413.8416666666667"/>
    </cacheField>
    <cacheField name="Beitrag monatlich (Brutto) (wenn nicht vorsteuerabzugs-berechtigt)" numFmtId="44">
      <sharedItems containsSemiMixedTypes="0" containsString="0" containsNumber="1" minValue="102.950351" maxValue="492.47158333333334"/>
    </cacheField>
    <cacheField name="Fälligkeit" numFmtId="0">
      <sharedItems/>
    </cacheField>
    <cacheField name="IBAN" numFmtId="0">
      <sharedItems/>
    </cacheField>
    <cacheField name="BIC" numFmtId="0">
      <sharedItems/>
    </cacheField>
    <cacheField name="Name des Zahlers, falls abweichend vom Ansprechpartner" numFmtId="0">
      <sharedItems/>
    </cacheField>
    <cacheField name="Bankname" numFmtId="0">
      <sharedItems/>
    </cacheField>
    <cacheField name="Beginn Versicherungsschutz / Start der Finanzierung" numFmtId="14">
      <sharedItems containsDate="1" containsMixedTypes="1" minDate="2024-04-15T00:00:00" maxDate="2024-06-18T00:00:00" count="8">
        <d v="2024-04-15T00:00:00"/>
        <d v="2024-04-20T00:00:00"/>
        <d v="2024-04-29T00:00:00"/>
        <s v="na"/>
        <d v="2024-06-04T00:00:00"/>
        <d v="2024-06-17T00:00:00"/>
        <s v="01.07.2024_x000a__x000a_"/>
        <d v="2024-05-20T00:00:00" u="1"/>
      </sharedItems>
    </cacheField>
    <cacheField name="Ablauf Versicherungsschutz / Ende der Finanzierung" numFmtId="14">
      <sharedItems containsDate="1" containsMixedTypes="1" minDate="2029-04-01T00:00:00" maxDate="2029-04-02T00:00:00"/>
    </cacheField>
    <cacheField name="Aktivierung der Finanzierung / (genhemigt oder abgelehnt)" numFmtId="0">
      <sharedItems containsDate="1" containsMixedTypes="1" minDate="2024-05-16T00:00:00" maxDate="2024-06-05T00:00:00"/>
    </cacheField>
    <cacheField name="Vorzeitige Kreditablösung" numFmtId="0">
      <sharedItems/>
    </cacheField>
    <cacheField name="Änderungsdatum" numFmtId="0">
      <sharedItems/>
    </cacheField>
    <cacheField name="Änderungsgrund" numFmtId="0">
      <sharedItems/>
    </cacheField>
    <cacheField name="Kündigungsdatum" numFmtId="0">
      <sharedItems/>
    </cacheField>
    <cacheField name="Prämie Jahr 1" numFmtId="44">
      <sharedItems containsMixedTypes="1" containsNumber="1" minValue="596.93901000000005" maxValue="3108.1800533333335"/>
    </cacheField>
    <cacheField name="Marsh Vertragsnum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Z09500YLRU625302_x000a_1KM0639GERR145214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0"/>
    <d v="2029-04-01T00:00:00"/>
    <d v="2024-05-16T00:00:00"/>
    <s v="na"/>
    <s v="na"/>
    <s v="na"/>
    <s v="na"/>
    <n v="3108.1800533333335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Z09500YHRU625317_x000a_1KM0639GTRR145216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1"/>
    <d v="2029-04-01T00:00:00"/>
    <d v="2024-05-16T00:00:00"/>
    <s v="na"/>
    <s v="na"/>
    <s v="na"/>
    <s v="na"/>
    <n v="3047.4734116666668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Z09500YLRU625316_x000a_1KM0639GCRR145182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2"/>
    <d v="2029-04-01T00:00:00"/>
    <d v="2024-05-28T00:00:00"/>
    <s v="na"/>
    <s v="na"/>
    <s v="na"/>
    <s v="na"/>
    <n v="2938.2014566666667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KM0639GPRR145217_x000a_1Z09500YHRU625320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1"/>
    <d v="2029-04-01T00:00:00"/>
    <d v="2024-05-28T00:00:00"/>
    <s v="na"/>
    <s v="na"/>
    <s v="na"/>
    <s v="na"/>
    <n v="3047.4734116666668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Z09500YERU625321_x000a_1KM0639GHRR145244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1"/>
    <d v="2029-04-01T00:00:00"/>
    <d v="2024-05-16T00:00:00"/>
    <s v="na"/>
    <s v="na"/>
    <s v="na"/>
    <s v="na"/>
    <n v="3047.4734116666668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1Z09500YTRU625323_x000a_1KM0639GLRR145212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1"/>
    <d v="2029-04-01T00:00:00"/>
    <d v="2024-05-16T00:00:00"/>
    <s v="na"/>
    <s v="na"/>
    <s v="na"/>
    <s v="na"/>
    <n v="3047.4734116666668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9500 SPFH_x000a_John Deere 639_x000a_John Deere Kemper 490_x000a_John Deere Kemper Fahrwerk 400F"/>
    <s v="na_x000a_na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3"/>
    <s v="na"/>
    <s v="na"/>
    <s v="na"/>
    <s v="na"/>
    <s v="na"/>
    <s v="na"/>
    <s v="-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6R 185"/>
    <s v="1L06185RKRR422340"/>
    <n v="2024"/>
    <n v="147256"/>
    <s v="na"/>
    <n v="5000"/>
    <n v="7.05"/>
    <n v="1038.1548"/>
    <n v="1235.4042119999999"/>
    <s v="Jährlich"/>
    <n v="86.512900000000002"/>
    <n v="102.950351"/>
    <s v="Due date"/>
    <s v="na"/>
    <s v="na"/>
    <s v="na"/>
    <s v="na"/>
    <x v="4"/>
    <d v="2029-04-01T00:00:00"/>
    <d v="2024-06-04T00:00:00"/>
    <s v="na"/>
    <s v="na"/>
    <s v="na"/>
    <s v="na"/>
    <n v="596.93901000000005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6R 185"/>
    <s v="1L06185RKRR422998"/>
    <n v="2024"/>
    <n v="147256"/>
    <s v="na"/>
    <n v="5000"/>
    <n v="7.05"/>
    <n v="1038.1548"/>
    <n v="1235.4042119999999"/>
    <s v="Jährlich"/>
    <n v="86.512900000000002"/>
    <n v="102.950351"/>
    <s v="Due date"/>
    <s v="na"/>
    <s v="na"/>
    <s v="na"/>
    <s v="na"/>
    <x v="4"/>
    <d v="2029-04-01T00:00:00"/>
    <d v="2024-06-04T00:00:00"/>
    <s v="na"/>
    <s v="na"/>
    <s v="na"/>
    <s v="na"/>
    <n v="596.93901000000005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6R 185"/>
    <s v="1L06185RJRR422341"/>
    <n v="2024"/>
    <n v="147256"/>
    <s v="na"/>
    <n v="5000"/>
    <n v="7.05"/>
    <n v="1038.1548"/>
    <n v="1235.4042119999999"/>
    <s v="Jährlich"/>
    <n v="86.512900000000002"/>
    <n v="102.950351"/>
    <s v="Due date"/>
    <s v="na"/>
    <s v="na"/>
    <s v="na"/>
    <s v="na"/>
    <x v="4"/>
    <d v="2029-04-01T00:00:00"/>
    <d v="2024-06-04T00:00:00"/>
    <s v="na"/>
    <s v="na"/>
    <s v="na"/>
    <s v="na"/>
    <n v="596.93901000000005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6R 185"/>
    <s v="1L06185RERR423269"/>
    <n v="2024"/>
    <n v="147256"/>
    <s v="na"/>
    <n v="5000"/>
    <n v="7.05"/>
    <n v="1038.1548"/>
    <n v="1235.4042119999999"/>
    <s v="Jährlich"/>
    <n v="86.512900000000002"/>
    <n v="102.950351"/>
    <s v="Due date"/>
    <s v="na"/>
    <s v="na"/>
    <s v="na"/>
    <s v="na"/>
    <x v="4"/>
    <d v="2029-04-01T00:00:00"/>
    <d v="2024-06-04T00:00:00"/>
    <s v="na"/>
    <s v="na"/>
    <s v="na"/>
    <s v="na"/>
    <n v="596.93901000000005"/>
    <m/>
  </r>
  <r>
    <x v="0"/>
    <s v="na"/>
    <s v="Nick"/>
    <s v="Köhl"/>
    <s v="Graßahof"/>
    <n v="8"/>
    <n v="92364"/>
    <s v="Deining"/>
    <s v="buero@koehl-harvest.de"/>
    <s v="na"/>
    <n v="665281"/>
    <s v="ja"/>
    <s v="Feldhäcksler"/>
    <s v="Neu"/>
    <s v="John Deere"/>
    <s v="John Deere 6R 185"/>
    <s v="1L06185RERR423420"/>
    <n v="2024"/>
    <n v="147256"/>
    <s v="na"/>
    <n v="5000"/>
    <n v="7.05"/>
    <n v="1038.1548"/>
    <n v="1235.4042119999999"/>
    <s v="Jährlich"/>
    <n v="86.512900000000002"/>
    <n v="102.950351"/>
    <s v="Due date"/>
    <s v="na"/>
    <s v="na"/>
    <s v="na"/>
    <s v="na"/>
    <x v="4"/>
    <d v="2029-04-01T00:00:00"/>
    <d v="2024-06-04T00:00:00"/>
    <s v="na"/>
    <s v="na"/>
    <s v="na"/>
    <s v="na"/>
    <n v="596.93901000000005"/>
    <m/>
  </r>
  <r>
    <x v="0"/>
    <s v="na"/>
    <s v="Nick"/>
    <s v="Köhl"/>
    <s v="Graßahof"/>
    <n v="8"/>
    <n v="92364"/>
    <s v="Deining"/>
    <s v="buero@koehl-harvest.de"/>
    <s v="na"/>
    <n v="665281"/>
    <s v="ja"/>
    <s v="Mähdrescher"/>
    <s v="Neu"/>
    <s v="John Deere"/>
    <s v="John Deere T670 HM_x000a_John Deere 730X_x000a_Thalhammer Sww"/>
    <s v="1Z0T670BART141030_x000a_1Z0730EXJRR071429_x000a_WEGTP1222R24Z1209"/>
    <s v="2024_x000a_2024_x000a_2024"/>
    <n v="350000"/>
    <s v="na"/>
    <n v="5000"/>
    <n v="9"/>
    <n v="3149.9999999999995"/>
    <n v="3748.4999999999991"/>
    <s v="Jährlich"/>
    <n v="262.49999999999994"/>
    <n v="312.37499999999994"/>
    <s v="Due date"/>
    <s v="na"/>
    <s v="na"/>
    <s v="na"/>
    <s v="na"/>
    <x v="5"/>
    <s v="01.06.2029_x000a__x000a_"/>
    <s v="17.06.2024_x000a__x000a_"/>
    <s v="na"/>
    <s v="na"/>
    <s v="na"/>
    <s v="na"/>
    <n v="1697.4999999999995"/>
    <m/>
  </r>
  <r>
    <x v="0"/>
    <s v="na"/>
    <s v="Nick"/>
    <s v="Köhl"/>
    <s v="Graßahof"/>
    <n v="8"/>
    <n v="92364"/>
    <s v="Deining"/>
    <s v="buero@koehl-harvest.de"/>
    <s v="na"/>
    <n v="665281"/>
    <s v="ja"/>
    <s v="Mähdrescher"/>
    <s v="Neu"/>
    <s v="John Deere"/>
    <s v="John Deere T560 HM_x000a_John Deere 725X_x000a_Thalhammer Sww"/>
    <s v="na_x000a_na_x000a_na"/>
    <s v="2024_x000a_2024_x000a_2024"/>
    <n v="348090"/>
    <s v="na"/>
    <n v="5000"/>
    <n v="9"/>
    <n v="3132.81"/>
    <n v="3728.0438999999997"/>
    <s v="Jährlich"/>
    <n v="261.0675"/>
    <n v="310.67032499999999"/>
    <s v="Due date"/>
    <s v="na"/>
    <s v="na"/>
    <s v="na"/>
    <s v="na"/>
    <x v="3"/>
    <s v="na"/>
    <s v="na"/>
    <s v="na"/>
    <s v="na"/>
    <s v="na"/>
    <s v="na"/>
    <s v="-"/>
    <m/>
  </r>
  <r>
    <x v="1"/>
    <s v="GmbH"/>
    <s v="Nick"/>
    <s v="Köhl"/>
    <s v="Biaser Straße"/>
    <n v="33"/>
    <n v="39261"/>
    <s v="Zerbst/Anhalt"/>
    <s v="buero@koehl-harvest.de"/>
    <s v="na"/>
    <n v="777144"/>
    <s v="ja"/>
    <s v="Feldhäcksler"/>
    <s v="Neu"/>
    <s v="John Deere"/>
    <s v="John Deere 9500 SPFH_x000a_John Deere 639_x000a_John Deere Kemper 490_x000a_John Deere Kemper Fahrwerk 400F"/>
    <s v="1Z09500YVRU625460_x000a_1KM0639GJRR145446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6"/>
    <s v="na"/>
    <s v="na"/>
    <s v="na"/>
    <s v="na"/>
    <s v="na"/>
    <s v="na"/>
    <s v="-"/>
    <m/>
  </r>
  <r>
    <x v="1"/>
    <s v="GmbH"/>
    <s v="Nick"/>
    <s v="Köhl"/>
    <s v="Biaser Straße"/>
    <n v="33"/>
    <n v="39261"/>
    <s v="Zerbst/Anhalt"/>
    <s v="buero@koehl-harvest.de"/>
    <s v="na"/>
    <n v="777144"/>
    <s v="ja"/>
    <s v="Feldhäcksler"/>
    <s v="Neu"/>
    <s v="John Deere"/>
    <s v="John Deere 9500 SPFH_x000a_John Deere 639_x000a_John Deere Kemper 490_x000a_John Deere Kemper Fahrwerk 400F"/>
    <s v="na_x000a_na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3"/>
    <s v="na"/>
    <s v="na"/>
    <s v="na"/>
    <s v="na"/>
    <s v="na"/>
    <s v="na"/>
    <s v="-"/>
    <m/>
  </r>
  <r>
    <x v="1"/>
    <s v="GmbH"/>
    <s v="Nick"/>
    <s v="Köhl"/>
    <s v="Biaser Straße"/>
    <n v="33"/>
    <n v="39261"/>
    <s v="Zerbst/Anhalt"/>
    <s v="buero@koehl-harvest.de"/>
    <s v="na"/>
    <n v="777144"/>
    <s v="ja"/>
    <s v="Feldhäcksler"/>
    <s v="Neu"/>
    <s v="John Deere"/>
    <s v="John Deere 9500 SPFH_x000a_John Deere 639_x000a_John Deere Kemper 490_x000a_John Deere Kemper Fahrwerk 400F"/>
    <s v="na_x000a_na_x000a_na_x000a_na"/>
    <s v="2024_x000a_2024_x000a_2024_x000a_2024"/>
    <n v="549796"/>
    <s v="na"/>
    <n v="5000"/>
    <n v="7.95"/>
    <n v="4370.8782000000001"/>
    <n v="5201.3450579999999"/>
    <s v="Jährlich"/>
    <n v="364.23984999999999"/>
    <n v="433.44542149999995"/>
    <s v="Due date"/>
    <s v="na"/>
    <s v="na"/>
    <s v="na"/>
    <s v="na"/>
    <x v="3"/>
    <s v="na"/>
    <s v="na"/>
    <s v="na"/>
    <s v="na"/>
    <s v="na"/>
    <s v="na"/>
    <s v="-"/>
    <m/>
  </r>
  <r>
    <x v="2"/>
    <s v="GbR"/>
    <s v="na"/>
    <s v="na"/>
    <s v="Endsee"/>
    <n v="4"/>
    <n v="91628"/>
    <s v="Steinsfeld"/>
    <s v="eberhard@kett-lohnunternehmen.de "/>
    <s v="na"/>
    <n v="1681089"/>
    <s v="ja"/>
    <s v="Feldhäcksler"/>
    <s v="Neu"/>
    <s v="John Deere"/>
    <s v="John Deere 8500 SPFH_x000a_John Deere 639_x000a_John Deere Kemper 490_x000a_John Deere Kemper Fahrwerk 400F"/>
    <s v="na_x000a_na_x000a_na_x000a_na"/>
    <s v="2024_x000a_2024_x000a_2024_x000a_2024"/>
    <n v="468500"/>
    <s v="na"/>
    <n v="1000"/>
    <n v="10.6"/>
    <n v="4966.1000000000004"/>
    <n v="5909.6590000000006"/>
    <s v="Jährlich"/>
    <n v="413.8416666666667"/>
    <n v="492.47158333333334"/>
    <s v="Due date"/>
    <s v="na"/>
    <s v="na"/>
    <s v="na"/>
    <s v="na"/>
    <x v="3"/>
    <s v="na"/>
    <s v="na"/>
    <s v="na"/>
    <s v="na"/>
    <s v="na"/>
    <s v="na"/>
    <s v="-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3" cacheId="1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A3:B8" firstHeaderRow="2" firstDataRow="2" firstDataCol="1" rowPageCount="1" colPageCount="1"/>
  <pivotFields count="41">
    <pivotField axis="axisRow" compact="0" outline="0" showAll="0" includeNewItemsInFilter="1">
      <items count="5">
        <item m="1" x="3"/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9">
        <item x="0"/>
        <item x="1"/>
        <item x="2"/>
        <item m="1" x="7"/>
        <item x="3"/>
        <item x="4"/>
        <item x="5"/>
        <item x="6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ubtotalTop="0" showAll="0" defaultSubtotal="0"/>
    <pivotField compact="0" outline="0" subtotalTop="0" showAll="0" defaultSubtota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32" hier="0"/>
  </pageFields>
  <dataFields count="1">
    <dataField name="Sum of Prämie Jahr 1" fld="39" baseField="0" baseItem="2"/>
  </dataFields>
  <formats count="1">
    <format dxfId="41">
      <pivotArea outline="0" fieldPosition="0">
        <references count="1">
          <reference field="0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O19" totalsRowShown="0" headerRowDxfId="40" dataDxfId="39">
  <autoFilter ref="A1:AO19" xr:uid="{00000000-0009-0000-0100-000001000000}"/>
  <tableColumns count="41">
    <tableColumn id="1" xr3:uid="{00000000-0010-0000-0000-000001000000}" name="Firmenname"/>
    <tableColumn id="2" xr3:uid="{00000000-0010-0000-0000-000002000000}" name="Rechtsform"/>
    <tableColumn id="3" xr3:uid="{00000000-0010-0000-0000-000003000000}" name="Vorname des Ansprechpartners" dataDxfId="38"/>
    <tableColumn id="4" xr3:uid="{00000000-0010-0000-0000-000004000000}" name="Nachname des Ansprechpartners" dataDxfId="37"/>
    <tableColumn id="5" xr3:uid="{00000000-0010-0000-0000-000005000000}" name="Straße" dataDxfId="36"/>
    <tableColumn id="6" xr3:uid="{00000000-0010-0000-0000-000006000000}" name="Hnr." dataDxfId="35"/>
    <tableColumn id="7" xr3:uid="{00000000-0010-0000-0000-000007000000}" name="PLZ" dataDxfId="34"/>
    <tableColumn id="8" xr3:uid="{00000000-0010-0000-0000-000008000000}" name="Ort" dataDxfId="33"/>
    <tableColumn id="9" xr3:uid="{00000000-0010-0000-0000-000009000000}" name="E-Mail" dataDxfId="32"/>
    <tableColumn id="10" xr3:uid="{00000000-0010-0000-0000-00000A000000}" name="Telefon" dataDxfId="31"/>
    <tableColumn id="11" xr3:uid="{00000000-0010-0000-0000-00000B000000}" name="Finanzierungs-/Leasing-Projekt-Nr." dataDxfId="30"/>
    <tableColumn id="43" xr3:uid="{ECC3C085-5074-4B59-9EA7-94BCE0A5708F}" name="B-Number" dataDxfId="29"/>
    <tableColumn id="12" xr3:uid="{00000000-0010-0000-0000-00000C000000}" name="Vorsteuerabzugs-berechtigt" dataDxfId="28"/>
    <tableColumn id="13" xr3:uid="{00000000-0010-0000-0000-00000D000000}" name="Maschinentyp (Traktor, Mähdrescher, Feldhäcksler oder sontige Geräte)" dataDxfId="27"/>
    <tableColumn id="14" xr3:uid="{00000000-0010-0000-0000-00000E000000}" name="Neue oder gebrauchte Maschine" dataDxfId="26"/>
    <tableColumn id="15" xr3:uid="{00000000-0010-0000-0000-00000F000000}" name="Hersteller" dataDxfId="25"/>
    <tableColumn id="16" xr3:uid="{00000000-0010-0000-0000-000010000000}" name="Modell der Maschine plus Anbauten" dataDxfId="24"/>
    <tableColumn id="17" xr3:uid="{00000000-0010-0000-0000-000011000000}" name="Seriennummer" dataDxfId="23"/>
    <tableColumn id="18" xr3:uid="{00000000-0010-0000-0000-000012000000}" name="Baujahr" dataDxfId="22"/>
    <tableColumn id="19" xr3:uid="{00000000-0010-0000-0000-000013000000}" name="Netto-Neupreis (wenn vorsteuerabzugs-berechtigt)" dataDxfId="21"/>
    <tableColumn id="20" xr3:uid="{00000000-0010-0000-0000-000014000000}" name="Brutto-Neupreis (wenn nicht vorsteuerabzugs-berechtigt)" dataDxfId="20"/>
    <tableColumn id="21" xr3:uid="{00000000-0010-0000-0000-000015000000}" name="Selbstbehalt" dataDxfId="19"/>
    <tableColumn id="22" xr3:uid="{00000000-0010-0000-0000-000016000000}" name="Beitragssatz" dataDxfId="18"/>
    <tableColumn id="23" xr3:uid="{00000000-0010-0000-0000-000017000000}" name="Jahresbeitrag (Netto)" dataDxfId="17"/>
    <tableColumn id="24" xr3:uid="{00000000-0010-0000-0000-000018000000}" name="Jahresbeitrag (Brutto)" dataDxfId="16"/>
    <tableColumn id="25" xr3:uid="{00000000-0010-0000-0000-000019000000}" name="Zahlweise (Jährlich)" dataDxfId="15"/>
    <tableColumn id="26" xr3:uid="{00000000-0010-0000-0000-00001A000000}" name="Beitrag monatlich (Netto) (wenn vorsteuerabzugs-berechtigt)" dataDxfId="14"/>
    <tableColumn id="27" xr3:uid="{00000000-0010-0000-0000-00001B000000}" name="Beitrag monatlich (Brutto) (wenn nicht vorsteuerabzugs-berechtigt)" dataDxfId="13"/>
    <tableColumn id="28" xr3:uid="{00000000-0010-0000-0000-00001C000000}" name="Fälligkeit" dataDxfId="12"/>
    <tableColumn id="29" xr3:uid="{00000000-0010-0000-0000-00001D000000}" name="IBAN" dataDxfId="11"/>
    <tableColumn id="30" xr3:uid="{00000000-0010-0000-0000-00001E000000}" name="BIC" dataDxfId="10"/>
    <tableColumn id="31" xr3:uid="{00000000-0010-0000-0000-00001F000000}" name="Name des Zahlers, falls abweichend vom Ansprechpartner" dataDxfId="9"/>
    <tableColumn id="32" xr3:uid="{00000000-0010-0000-0000-000020000000}" name="Bankname" dataDxfId="8"/>
    <tableColumn id="33" xr3:uid="{00000000-0010-0000-0000-000021000000}" name="Beginn Versicherungsschutz / Start der Finanzierung" dataDxfId="7"/>
    <tableColumn id="34" xr3:uid="{00000000-0010-0000-0000-000022000000}" name="Ablauf Versicherungsschutz / Ende der Finanzierung" dataDxfId="6"/>
    <tableColumn id="35" xr3:uid="{00000000-0010-0000-0000-000023000000}" name="Aktivierung der Finanzierung / (genhemigt oder abgelehnt)" dataDxfId="5"/>
    <tableColumn id="36" xr3:uid="{00000000-0010-0000-0000-000024000000}" name="Vorzeitige Kreditablösung" dataDxfId="4"/>
    <tableColumn id="37" xr3:uid="{00000000-0010-0000-0000-000025000000}" name="Änderungsdatum" dataDxfId="3"/>
    <tableColumn id="38" xr3:uid="{00000000-0010-0000-0000-000026000000}" name="Änderungsgrund" dataDxfId="2"/>
    <tableColumn id="40" xr3:uid="{00000000-0010-0000-0000-000028000000}" name="Prämie Jahr 1" dataDxfId="1">
      <calculatedColumnFormula>+IFERROR(X2/360*DAYS360(AH2,DATE(YEAR(AH2)+1,1,1)),"-")</calculatedColumnFormula>
    </tableColumn>
    <tableColumn id="41" xr3:uid="{00000000-0010-0000-0000-000029000000}" name="Marsh Vertragsnumm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selection activeCell="A6" sqref="A6"/>
    </sheetView>
  </sheetViews>
  <sheetFormatPr baseColWidth="10" defaultColWidth="11.453125" defaultRowHeight="12.5" x14ac:dyDescent="0.25"/>
  <cols>
    <col min="1" max="1" width="45.81640625" bestFit="1" customWidth="1"/>
    <col min="2" max="2" width="12" bestFit="1" customWidth="1"/>
    <col min="3" max="256" width="8.7265625" customWidth="1"/>
  </cols>
  <sheetData>
    <row r="1" spans="1:2" x14ac:dyDescent="0.25">
      <c r="A1" s="19" t="s">
        <v>27</v>
      </c>
      <c r="B1" s="20" t="s">
        <v>55</v>
      </c>
    </row>
    <row r="3" spans="1:2" x14ac:dyDescent="0.25">
      <c r="A3" s="15" t="s">
        <v>83</v>
      </c>
      <c r="B3" s="17"/>
    </row>
    <row r="4" spans="1:2" x14ac:dyDescent="0.25">
      <c r="A4" s="15" t="s">
        <v>8</v>
      </c>
      <c r="B4" s="17" t="s">
        <v>54</v>
      </c>
    </row>
    <row r="5" spans="1:2" x14ac:dyDescent="0.25">
      <c r="A5" s="14" t="s">
        <v>39</v>
      </c>
      <c r="B5" s="17">
        <v>22918.470206666672</v>
      </c>
    </row>
    <row r="6" spans="1:2" x14ac:dyDescent="0.25">
      <c r="A6" s="21" t="s">
        <v>70</v>
      </c>
      <c r="B6" s="33">
        <v>0</v>
      </c>
    </row>
    <row r="7" spans="1:2" x14ac:dyDescent="0.25">
      <c r="A7" s="21" t="s">
        <v>76</v>
      </c>
      <c r="B7" s="33">
        <v>0</v>
      </c>
    </row>
    <row r="8" spans="1:2" x14ac:dyDescent="0.25">
      <c r="A8" s="16" t="s">
        <v>53</v>
      </c>
      <c r="B8" s="20">
        <v>22918.470206666672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1"/>
  <sheetViews>
    <sheetView tabSelected="1" showOutlineSymbols="0" topLeftCell="U1" zoomScale="88" workbookViewId="0">
      <selection activeCell="Z1" sqref="Z1:Z1048576"/>
    </sheetView>
  </sheetViews>
  <sheetFormatPr baseColWidth="10" defaultColWidth="10" defaultRowHeight="12.75" customHeight="1" x14ac:dyDescent="0.25"/>
  <cols>
    <col min="1" max="1" width="17.54296875" customWidth="1"/>
    <col min="2" max="2" width="13.453125" customWidth="1"/>
    <col min="3" max="3" width="31.7265625" style="1" customWidth="1"/>
    <col min="4" max="4" width="33" style="1" customWidth="1"/>
    <col min="5" max="5" width="11.1796875" style="1" customWidth="1"/>
    <col min="6" max="6" width="7.54296875" style="1" customWidth="1"/>
    <col min="7" max="7" width="6.54296875" style="1" customWidth="1"/>
    <col min="8" max="10" width="10.1796875" style="1" customWidth="1"/>
    <col min="11" max="11" width="7.81640625" style="1" customWidth="1"/>
    <col min="12" max="12" width="11.453125" style="1" customWidth="1"/>
    <col min="13" max="13" width="13.54296875" style="1" customWidth="1"/>
    <col min="14" max="14" width="65.453125" style="1" customWidth="1"/>
    <col min="15" max="15" width="14.453125" style="1" customWidth="1"/>
    <col min="16" max="16" width="18.7265625" style="1" customWidth="1"/>
    <col min="17" max="17" width="34.7265625" style="1" customWidth="1"/>
    <col min="18" max="18" width="21.453125" style="1" customWidth="1"/>
    <col min="19" max="19" width="16.453125" style="1" customWidth="1"/>
    <col min="20" max="20" width="49" style="1" customWidth="1"/>
    <col min="21" max="21" width="55" style="1" customWidth="1"/>
    <col min="22" max="23" width="17.453125" style="1" customWidth="1"/>
    <col min="24" max="24" width="22.26953125" style="1" customWidth="1"/>
    <col min="25" max="25" width="23.1796875" style="1" customWidth="1"/>
    <col min="26" max="26" width="20.81640625" style="1" hidden="1" customWidth="1"/>
    <col min="27" max="27" width="58" style="1" customWidth="1"/>
    <col min="28" max="28" width="58.7265625" style="1" customWidth="1"/>
    <col min="29" max="29" width="17.453125" style="1" customWidth="1"/>
    <col min="30" max="30" width="30" style="1" customWidth="1"/>
    <col min="31" max="31" width="11.7265625" style="1" customWidth="1"/>
    <col min="32" max="32" width="55" style="1" customWidth="1"/>
    <col min="33" max="33" width="12.453125" style="1" customWidth="1"/>
    <col min="34" max="34" width="51" style="1" customWidth="1"/>
    <col min="35" max="35" width="50.453125" style="1" customWidth="1"/>
    <col min="36" max="36" width="55.54296875" style="1" customWidth="1"/>
    <col min="37" max="37" width="26.453125" style="1" customWidth="1"/>
    <col min="38" max="38" width="18.54296875" style="1" customWidth="1"/>
    <col min="39" max="39" width="18.26953125" style="1" customWidth="1"/>
    <col min="40" max="40" width="12.453125" bestFit="1" customWidth="1"/>
  </cols>
  <sheetData>
    <row r="1" spans="1:41" s="4" customFormat="1" ht="91" customHeight="1" x14ac:dyDescent="0.25">
      <c r="A1" s="38" t="s">
        <v>8</v>
      </c>
      <c r="B1" s="38" t="s">
        <v>9</v>
      </c>
      <c r="C1" s="39" t="s">
        <v>15</v>
      </c>
      <c r="D1" s="39" t="s">
        <v>16</v>
      </c>
      <c r="E1" s="39" t="s">
        <v>33</v>
      </c>
      <c r="F1" s="39" t="s">
        <v>2</v>
      </c>
      <c r="G1" s="39" t="s">
        <v>0</v>
      </c>
      <c r="H1" s="39" t="s">
        <v>1</v>
      </c>
      <c r="I1" s="39" t="s">
        <v>10</v>
      </c>
      <c r="J1" s="39" t="s">
        <v>11</v>
      </c>
      <c r="K1" s="39" t="s">
        <v>12</v>
      </c>
      <c r="L1" s="2" t="s">
        <v>84</v>
      </c>
      <c r="M1" s="39" t="s">
        <v>13</v>
      </c>
      <c r="N1" s="39" t="s">
        <v>34</v>
      </c>
      <c r="O1" s="39" t="s">
        <v>32</v>
      </c>
      <c r="P1" s="39" t="s">
        <v>18</v>
      </c>
      <c r="Q1" s="39" t="s">
        <v>17</v>
      </c>
      <c r="R1" s="2" t="s">
        <v>30</v>
      </c>
      <c r="S1" s="39" t="s">
        <v>19</v>
      </c>
      <c r="T1" s="39" t="s">
        <v>20</v>
      </c>
      <c r="U1" s="39" t="s">
        <v>21</v>
      </c>
      <c r="V1" s="39" t="s">
        <v>26</v>
      </c>
      <c r="W1" s="3" t="s">
        <v>22</v>
      </c>
      <c r="X1" s="3" t="s">
        <v>23</v>
      </c>
      <c r="Y1" s="3" t="s">
        <v>24</v>
      </c>
      <c r="Z1" s="3" t="s">
        <v>35</v>
      </c>
      <c r="AA1" s="39" t="s">
        <v>36</v>
      </c>
      <c r="AB1" s="3" t="s">
        <v>37</v>
      </c>
      <c r="AC1" s="3" t="s">
        <v>25</v>
      </c>
      <c r="AD1" s="3" t="s">
        <v>5</v>
      </c>
      <c r="AE1" s="3" t="s">
        <v>6</v>
      </c>
      <c r="AF1" s="3" t="s">
        <v>14</v>
      </c>
      <c r="AG1" s="3" t="s">
        <v>7</v>
      </c>
      <c r="AH1" s="2" t="s">
        <v>27</v>
      </c>
      <c r="AI1" s="2" t="s">
        <v>28</v>
      </c>
      <c r="AJ1" s="2" t="s">
        <v>29</v>
      </c>
      <c r="AK1" s="2" t="s">
        <v>38</v>
      </c>
      <c r="AL1" s="2" t="s">
        <v>3</v>
      </c>
      <c r="AM1" s="2" t="s">
        <v>4</v>
      </c>
      <c r="AN1" s="3" t="s">
        <v>57</v>
      </c>
      <c r="AO1" s="3" t="s">
        <v>56</v>
      </c>
    </row>
    <row r="2" spans="1:41" ht="50" x14ac:dyDescent="0.25">
      <c r="A2" t="s">
        <v>39</v>
      </c>
      <c r="B2" t="s">
        <v>45</v>
      </c>
      <c r="C2" t="s">
        <v>40</v>
      </c>
      <c r="D2" t="s">
        <v>41</v>
      </c>
      <c r="E2" t="s">
        <v>42</v>
      </c>
      <c r="F2">
        <v>8</v>
      </c>
      <c r="G2">
        <v>92364</v>
      </c>
      <c r="H2" t="s">
        <v>43</v>
      </c>
      <c r="I2" t="s">
        <v>44</v>
      </c>
      <c r="J2" t="s">
        <v>45</v>
      </c>
      <c r="K2">
        <v>665281</v>
      </c>
      <c r="L2"/>
      <c r="M2" t="s">
        <v>47</v>
      </c>
      <c r="N2" t="s">
        <v>48</v>
      </c>
      <c r="O2" t="s">
        <v>49</v>
      </c>
      <c r="P2" t="s">
        <v>46</v>
      </c>
      <c r="Q2" s="8" t="s">
        <v>50</v>
      </c>
      <c r="R2" s="8" t="s">
        <v>86</v>
      </c>
      <c r="S2" s="8" t="s">
        <v>51</v>
      </c>
      <c r="T2" s="11">
        <v>549796</v>
      </c>
      <c r="U2" t="s">
        <v>45</v>
      </c>
      <c r="V2" s="10">
        <v>5000</v>
      </c>
      <c r="W2">
        <v>7.95</v>
      </c>
      <c r="X2" s="12">
        <f t="shared" ref="X2:X19" si="0">+W2/1000*T2</f>
        <v>4370.8782000000001</v>
      </c>
      <c r="Y2" s="11">
        <f t="shared" ref="Y2:Y8" si="1">+X2*1.19</f>
        <v>5201.3450579999999</v>
      </c>
      <c r="Z2" s="9" t="s">
        <v>52</v>
      </c>
      <c r="AA2" s="10">
        <f t="shared" ref="AA2:AA19" si="2">+X2/12</f>
        <v>364.23984999999999</v>
      </c>
      <c r="AB2" s="10">
        <f t="shared" ref="AB2:AB8" si="3">+AA2*1.19</f>
        <v>433.44542149999995</v>
      </c>
      <c r="AC2" s="24" t="s">
        <v>31</v>
      </c>
      <c r="AD2" s="9" t="s">
        <v>87</v>
      </c>
      <c r="AE2" s="9" t="s">
        <v>45</v>
      </c>
      <c r="AF2" s="9" t="s">
        <v>45</v>
      </c>
      <c r="AG2" s="9" t="s">
        <v>88</v>
      </c>
      <c r="AH2" s="35">
        <v>45397</v>
      </c>
      <c r="AI2" s="35">
        <v>47209</v>
      </c>
      <c r="AJ2" s="35">
        <v>45428</v>
      </c>
      <c r="AK2" s="9" t="s">
        <v>45</v>
      </c>
      <c r="AL2" s="9" t="s">
        <v>45</v>
      </c>
      <c r="AM2" s="9" t="s">
        <v>45</v>
      </c>
      <c r="AN2" s="18">
        <f t="shared" ref="AN2:AN15" si="4">+IFERROR(X2/360*DAYS360(AH2,DATE(YEAR(AH2)+1,1,1)),"-")</f>
        <v>3108.1800533333335</v>
      </c>
      <c r="AO2" s="5"/>
    </row>
    <row r="3" spans="1:41" ht="50" x14ac:dyDescent="0.25">
      <c r="A3" t="s">
        <v>39</v>
      </c>
      <c r="B3" t="s">
        <v>45</v>
      </c>
      <c r="C3" t="s">
        <v>40</v>
      </c>
      <c r="D3" t="s">
        <v>41</v>
      </c>
      <c r="E3" t="s">
        <v>42</v>
      </c>
      <c r="F3">
        <v>8</v>
      </c>
      <c r="G3">
        <v>92364</v>
      </c>
      <c r="H3" t="s">
        <v>43</v>
      </c>
      <c r="I3" t="s">
        <v>44</v>
      </c>
      <c r="J3" t="s">
        <v>45</v>
      </c>
      <c r="K3">
        <v>665281</v>
      </c>
      <c r="L3"/>
      <c r="M3" t="s">
        <v>47</v>
      </c>
      <c r="N3" t="s">
        <v>48</v>
      </c>
      <c r="O3" t="s">
        <v>49</v>
      </c>
      <c r="P3" t="s">
        <v>46</v>
      </c>
      <c r="Q3" s="8" t="s">
        <v>50</v>
      </c>
      <c r="R3" s="8" t="s">
        <v>89</v>
      </c>
      <c r="S3" s="8" t="s">
        <v>51</v>
      </c>
      <c r="T3" s="11">
        <v>549796</v>
      </c>
      <c r="U3" t="s">
        <v>45</v>
      </c>
      <c r="V3" s="10">
        <v>5000</v>
      </c>
      <c r="W3">
        <v>7.95</v>
      </c>
      <c r="X3" s="12">
        <f t="shared" si="0"/>
        <v>4370.8782000000001</v>
      </c>
      <c r="Y3" s="11">
        <f t="shared" si="1"/>
        <v>5201.3450579999999</v>
      </c>
      <c r="Z3" s="9" t="s">
        <v>52</v>
      </c>
      <c r="AA3" s="10">
        <f t="shared" si="2"/>
        <v>364.23984999999999</v>
      </c>
      <c r="AB3" s="10">
        <f t="shared" si="3"/>
        <v>433.44542149999995</v>
      </c>
      <c r="AC3" s="24" t="s">
        <v>31</v>
      </c>
      <c r="AD3" s="9" t="s">
        <v>87</v>
      </c>
      <c r="AE3" s="9" t="s">
        <v>45</v>
      </c>
      <c r="AF3" s="9" t="s">
        <v>45</v>
      </c>
      <c r="AG3" s="9" t="s">
        <v>88</v>
      </c>
      <c r="AH3" s="35">
        <v>45402</v>
      </c>
      <c r="AI3" s="13">
        <v>47209</v>
      </c>
      <c r="AJ3" s="35">
        <v>45428</v>
      </c>
      <c r="AK3" s="9" t="s">
        <v>45</v>
      </c>
      <c r="AL3" s="9" t="s">
        <v>45</v>
      </c>
      <c r="AM3" s="9" t="s">
        <v>45</v>
      </c>
      <c r="AN3" s="18">
        <f t="shared" si="4"/>
        <v>3047.4734116666668</v>
      </c>
      <c r="AO3" s="5"/>
    </row>
    <row r="4" spans="1:41" ht="50" x14ac:dyDescent="0.25">
      <c r="A4" t="s">
        <v>39</v>
      </c>
      <c r="B4" t="s">
        <v>45</v>
      </c>
      <c r="C4" t="s">
        <v>40</v>
      </c>
      <c r="D4" t="s">
        <v>41</v>
      </c>
      <c r="E4" t="s">
        <v>42</v>
      </c>
      <c r="F4">
        <v>8</v>
      </c>
      <c r="G4">
        <v>92364</v>
      </c>
      <c r="H4" t="s">
        <v>43</v>
      </c>
      <c r="I4" t="s">
        <v>44</v>
      </c>
      <c r="J4" t="s">
        <v>45</v>
      </c>
      <c r="K4">
        <v>665281</v>
      </c>
      <c r="L4"/>
      <c r="M4" t="s">
        <v>47</v>
      </c>
      <c r="N4" t="s">
        <v>48</v>
      </c>
      <c r="O4" t="s">
        <v>49</v>
      </c>
      <c r="P4" t="s">
        <v>46</v>
      </c>
      <c r="Q4" s="8" t="s">
        <v>50</v>
      </c>
      <c r="R4" s="8" t="s">
        <v>90</v>
      </c>
      <c r="S4" s="8" t="s">
        <v>51</v>
      </c>
      <c r="T4" s="11">
        <v>549796</v>
      </c>
      <c r="U4" t="s">
        <v>45</v>
      </c>
      <c r="V4" s="10">
        <v>5000</v>
      </c>
      <c r="W4">
        <v>7.95</v>
      </c>
      <c r="X4" s="12">
        <f t="shared" si="0"/>
        <v>4370.8782000000001</v>
      </c>
      <c r="Y4" s="11">
        <f t="shared" si="1"/>
        <v>5201.3450579999999</v>
      </c>
      <c r="Z4" s="9" t="s">
        <v>52</v>
      </c>
      <c r="AA4" s="10">
        <f t="shared" si="2"/>
        <v>364.23984999999999</v>
      </c>
      <c r="AB4" s="10">
        <f t="shared" si="3"/>
        <v>433.44542149999995</v>
      </c>
      <c r="AC4" s="24" t="s">
        <v>31</v>
      </c>
      <c r="AD4" s="9" t="s">
        <v>87</v>
      </c>
      <c r="AE4" s="9" t="s">
        <v>45</v>
      </c>
      <c r="AF4" s="9" t="s">
        <v>45</v>
      </c>
      <c r="AG4" s="9" t="s">
        <v>88</v>
      </c>
      <c r="AH4" s="35">
        <v>45411</v>
      </c>
      <c r="AI4" s="35">
        <v>47209</v>
      </c>
      <c r="AJ4" s="35">
        <v>45440</v>
      </c>
      <c r="AK4" s="9" t="s">
        <v>45</v>
      </c>
      <c r="AL4" s="9" t="s">
        <v>45</v>
      </c>
      <c r="AM4" s="9" t="s">
        <v>45</v>
      </c>
      <c r="AN4" s="18">
        <f t="shared" si="4"/>
        <v>2938.2014566666667</v>
      </c>
      <c r="AO4" s="5"/>
    </row>
    <row r="5" spans="1:41" ht="50" x14ac:dyDescent="0.25">
      <c r="A5" t="s">
        <v>39</v>
      </c>
      <c r="B5" t="s">
        <v>45</v>
      </c>
      <c r="C5" t="s">
        <v>40</v>
      </c>
      <c r="D5" t="s">
        <v>41</v>
      </c>
      <c r="E5" t="s">
        <v>42</v>
      </c>
      <c r="F5">
        <v>8</v>
      </c>
      <c r="G5">
        <v>92364</v>
      </c>
      <c r="H5" t="s">
        <v>43</v>
      </c>
      <c r="I5" t="s">
        <v>44</v>
      </c>
      <c r="J5" t="s">
        <v>45</v>
      </c>
      <c r="K5">
        <v>665281</v>
      </c>
      <c r="L5"/>
      <c r="M5" t="s">
        <v>47</v>
      </c>
      <c r="N5" t="s">
        <v>48</v>
      </c>
      <c r="O5" t="s">
        <v>49</v>
      </c>
      <c r="P5" t="s">
        <v>46</v>
      </c>
      <c r="Q5" s="8" t="s">
        <v>50</v>
      </c>
      <c r="R5" s="8" t="s">
        <v>91</v>
      </c>
      <c r="S5" s="8" t="s">
        <v>51</v>
      </c>
      <c r="T5" s="11">
        <v>549796</v>
      </c>
      <c r="U5" t="s">
        <v>45</v>
      </c>
      <c r="V5" s="10">
        <v>5000</v>
      </c>
      <c r="W5">
        <v>7.95</v>
      </c>
      <c r="X5" s="12">
        <f t="shared" si="0"/>
        <v>4370.8782000000001</v>
      </c>
      <c r="Y5" s="11">
        <f t="shared" si="1"/>
        <v>5201.3450579999999</v>
      </c>
      <c r="Z5" s="9" t="s">
        <v>52</v>
      </c>
      <c r="AA5" s="10">
        <f t="shared" si="2"/>
        <v>364.23984999999999</v>
      </c>
      <c r="AB5" s="10">
        <f t="shared" si="3"/>
        <v>433.44542149999995</v>
      </c>
      <c r="AC5" s="24" t="s">
        <v>31</v>
      </c>
      <c r="AD5" s="9" t="s">
        <v>87</v>
      </c>
      <c r="AE5" s="9" t="s">
        <v>45</v>
      </c>
      <c r="AF5" s="9" t="s">
        <v>45</v>
      </c>
      <c r="AG5" s="9" t="s">
        <v>88</v>
      </c>
      <c r="AH5" s="35">
        <v>45402</v>
      </c>
      <c r="AI5" s="35">
        <v>47209</v>
      </c>
      <c r="AJ5" s="35">
        <v>45440</v>
      </c>
      <c r="AK5" s="9" t="s">
        <v>45</v>
      </c>
      <c r="AL5" s="9" t="s">
        <v>45</v>
      </c>
      <c r="AM5" s="9" t="s">
        <v>45</v>
      </c>
      <c r="AN5" s="18">
        <f t="shared" si="4"/>
        <v>3047.4734116666668</v>
      </c>
      <c r="AO5" s="5"/>
    </row>
    <row r="6" spans="1:41" ht="50" x14ac:dyDescent="0.25">
      <c r="A6" t="s">
        <v>39</v>
      </c>
      <c r="B6" t="s">
        <v>45</v>
      </c>
      <c r="C6" t="s">
        <v>40</v>
      </c>
      <c r="D6" t="s">
        <v>41</v>
      </c>
      <c r="E6" t="s">
        <v>42</v>
      </c>
      <c r="F6">
        <v>8</v>
      </c>
      <c r="G6">
        <v>92364</v>
      </c>
      <c r="H6" t="s">
        <v>43</v>
      </c>
      <c r="I6" t="s">
        <v>44</v>
      </c>
      <c r="J6" t="s">
        <v>45</v>
      </c>
      <c r="K6">
        <v>665281</v>
      </c>
      <c r="L6"/>
      <c r="M6" t="s">
        <v>47</v>
      </c>
      <c r="N6" t="s">
        <v>48</v>
      </c>
      <c r="O6" t="s">
        <v>49</v>
      </c>
      <c r="P6" t="s">
        <v>46</v>
      </c>
      <c r="Q6" s="8" t="s">
        <v>50</v>
      </c>
      <c r="R6" s="8" t="s">
        <v>92</v>
      </c>
      <c r="S6" s="8" t="s">
        <v>51</v>
      </c>
      <c r="T6" s="11">
        <v>549796</v>
      </c>
      <c r="U6" t="s">
        <v>45</v>
      </c>
      <c r="V6" s="10">
        <v>5000</v>
      </c>
      <c r="W6">
        <v>7.95</v>
      </c>
      <c r="X6" s="12">
        <f t="shared" si="0"/>
        <v>4370.8782000000001</v>
      </c>
      <c r="Y6" s="11">
        <f t="shared" si="1"/>
        <v>5201.3450579999999</v>
      </c>
      <c r="Z6" s="9" t="s">
        <v>52</v>
      </c>
      <c r="AA6" s="10">
        <f t="shared" si="2"/>
        <v>364.23984999999999</v>
      </c>
      <c r="AB6" s="10">
        <f t="shared" si="3"/>
        <v>433.44542149999995</v>
      </c>
      <c r="AC6" s="24" t="s">
        <v>31</v>
      </c>
      <c r="AD6" s="9" t="s">
        <v>87</v>
      </c>
      <c r="AE6" s="9" t="s">
        <v>45</v>
      </c>
      <c r="AF6" s="9" t="s">
        <v>45</v>
      </c>
      <c r="AG6" s="9" t="s">
        <v>88</v>
      </c>
      <c r="AH6" s="35">
        <v>45402</v>
      </c>
      <c r="AI6" s="35">
        <v>47209</v>
      </c>
      <c r="AJ6" s="35">
        <v>45428</v>
      </c>
      <c r="AK6" s="9" t="s">
        <v>45</v>
      </c>
      <c r="AL6" s="9" t="s">
        <v>45</v>
      </c>
      <c r="AM6" s="9" t="s">
        <v>45</v>
      </c>
      <c r="AN6" s="18">
        <f t="shared" si="4"/>
        <v>3047.4734116666668</v>
      </c>
      <c r="AO6" s="5"/>
    </row>
    <row r="7" spans="1:41" ht="50" x14ac:dyDescent="0.25">
      <c r="A7" t="s">
        <v>39</v>
      </c>
      <c r="B7" t="s">
        <v>45</v>
      </c>
      <c r="C7" t="s">
        <v>40</v>
      </c>
      <c r="D7" t="s">
        <v>41</v>
      </c>
      <c r="E7" t="s">
        <v>42</v>
      </c>
      <c r="F7">
        <v>8</v>
      </c>
      <c r="G7">
        <v>92364</v>
      </c>
      <c r="H7" t="s">
        <v>43</v>
      </c>
      <c r="I7" t="s">
        <v>44</v>
      </c>
      <c r="J7" t="s">
        <v>45</v>
      </c>
      <c r="K7">
        <v>665281</v>
      </c>
      <c r="L7"/>
      <c r="M7" t="s">
        <v>47</v>
      </c>
      <c r="N7" t="s">
        <v>48</v>
      </c>
      <c r="O7" t="s">
        <v>49</v>
      </c>
      <c r="P7" t="s">
        <v>46</v>
      </c>
      <c r="Q7" s="8" t="s">
        <v>50</v>
      </c>
      <c r="R7" s="8" t="s">
        <v>93</v>
      </c>
      <c r="S7" s="8" t="s">
        <v>51</v>
      </c>
      <c r="T7" s="11">
        <v>549796</v>
      </c>
      <c r="U7" t="s">
        <v>45</v>
      </c>
      <c r="V7" s="10">
        <v>5000</v>
      </c>
      <c r="W7">
        <v>7.95</v>
      </c>
      <c r="X7" s="12">
        <f t="shared" si="0"/>
        <v>4370.8782000000001</v>
      </c>
      <c r="Y7" s="11">
        <f t="shared" si="1"/>
        <v>5201.3450579999999</v>
      </c>
      <c r="Z7" s="9" t="s">
        <v>52</v>
      </c>
      <c r="AA7" s="10">
        <f t="shared" si="2"/>
        <v>364.23984999999999</v>
      </c>
      <c r="AB7" s="10">
        <f t="shared" si="3"/>
        <v>433.44542149999995</v>
      </c>
      <c r="AC7" s="24" t="s">
        <v>31</v>
      </c>
      <c r="AD7" s="9" t="s">
        <v>87</v>
      </c>
      <c r="AE7" s="9" t="s">
        <v>45</v>
      </c>
      <c r="AF7" s="9" t="s">
        <v>45</v>
      </c>
      <c r="AG7" s="9" t="s">
        <v>88</v>
      </c>
      <c r="AH7" s="35">
        <v>45402</v>
      </c>
      <c r="AI7" s="35">
        <v>47209</v>
      </c>
      <c r="AJ7" s="35">
        <v>45428</v>
      </c>
      <c r="AK7" s="9" t="s">
        <v>45</v>
      </c>
      <c r="AL7" s="9" t="s">
        <v>45</v>
      </c>
      <c r="AM7" s="9" t="s">
        <v>45</v>
      </c>
      <c r="AN7" s="18">
        <f t="shared" si="4"/>
        <v>3047.4734116666668</v>
      </c>
      <c r="AO7" s="5"/>
    </row>
    <row r="8" spans="1:41" ht="50" x14ac:dyDescent="0.25">
      <c r="A8" t="s">
        <v>39</v>
      </c>
      <c r="B8" t="s">
        <v>45</v>
      </c>
      <c r="C8" t="s">
        <v>40</v>
      </c>
      <c r="D8" t="s">
        <v>41</v>
      </c>
      <c r="E8" t="s">
        <v>42</v>
      </c>
      <c r="F8">
        <v>8</v>
      </c>
      <c r="G8">
        <v>92364</v>
      </c>
      <c r="H8" t="s">
        <v>43</v>
      </c>
      <c r="I8" t="s">
        <v>44</v>
      </c>
      <c r="J8" t="s">
        <v>45</v>
      </c>
      <c r="K8">
        <v>665281</v>
      </c>
      <c r="L8"/>
      <c r="M8" t="s">
        <v>47</v>
      </c>
      <c r="N8" t="s">
        <v>48</v>
      </c>
      <c r="O8" t="s">
        <v>49</v>
      </c>
      <c r="P8" t="s">
        <v>46</v>
      </c>
      <c r="Q8" s="8" t="s">
        <v>50</v>
      </c>
      <c r="R8" s="8" t="s">
        <v>94</v>
      </c>
      <c r="S8" s="8" t="s">
        <v>51</v>
      </c>
      <c r="T8" s="11">
        <v>549796</v>
      </c>
      <c r="U8" t="s">
        <v>45</v>
      </c>
      <c r="V8" s="10">
        <v>5000</v>
      </c>
      <c r="W8">
        <v>7.95</v>
      </c>
      <c r="X8" s="12">
        <f t="shared" si="0"/>
        <v>4370.8782000000001</v>
      </c>
      <c r="Y8" s="11">
        <f t="shared" si="1"/>
        <v>5201.3450579999999</v>
      </c>
      <c r="Z8" s="9" t="s">
        <v>52</v>
      </c>
      <c r="AA8" s="10">
        <f t="shared" si="2"/>
        <v>364.23984999999999</v>
      </c>
      <c r="AB8" s="10">
        <f t="shared" si="3"/>
        <v>433.44542149999995</v>
      </c>
      <c r="AC8" s="24" t="s">
        <v>31</v>
      </c>
      <c r="AD8" s="9" t="s">
        <v>87</v>
      </c>
      <c r="AE8" s="9" t="s">
        <v>45</v>
      </c>
      <c r="AF8" s="9" t="s">
        <v>45</v>
      </c>
      <c r="AG8" s="9" t="s">
        <v>88</v>
      </c>
      <c r="AH8" s="13"/>
      <c r="AI8" s="35">
        <v>47270</v>
      </c>
      <c r="AJ8" s="36">
        <v>45492</v>
      </c>
      <c r="AK8" s="9" t="s">
        <v>45</v>
      </c>
      <c r="AL8" s="9" t="s">
        <v>45</v>
      </c>
      <c r="AM8" s="9" t="s">
        <v>45</v>
      </c>
      <c r="AN8" s="18">
        <f t="shared" si="4"/>
        <v>4383.0195283333333</v>
      </c>
      <c r="AO8" s="5"/>
    </row>
    <row r="9" spans="1:41" ht="12.75" customHeight="1" x14ac:dyDescent="0.25">
      <c r="A9" t="s">
        <v>39</v>
      </c>
      <c r="B9" t="s">
        <v>45</v>
      </c>
      <c r="C9" s="1" t="s">
        <v>40</v>
      </c>
      <c r="D9" s="1" t="s">
        <v>41</v>
      </c>
      <c r="E9" s="1" t="s">
        <v>42</v>
      </c>
      <c r="F9" s="1">
        <v>8</v>
      </c>
      <c r="G9" s="1">
        <v>92364</v>
      </c>
      <c r="H9" s="1" t="s">
        <v>43</v>
      </c>
      <c r="I9" s="1" t="s">
        <v>44</v>
      </c>
      <c r="J9" s="1" t="s">
        <v>45</v>
      </c>
      <c r="K9">
        <v>665281</v>
      </c>
      <c r="L9"/>
      <c r="M9" s="1" t="s">
        <v>47</v>
      </c>
      <c r="N9" s="1" t="s">
        <v>48</v>
      </c>
      <c r="O9" s="1" t="s">
        <v>49</v>
      </c>
      <c r="P9" s="1" t="s">
        <v>46</v>
      </c>
      <c r="Q9" s="1" t="s">
        <v>59</v>
      </c>
      <c r="R9" s="1" t="s">
        <v>60</v>
      </c>
      <c r="S9" s="31">
        <v>2024</v>
      </c>
      <c r="T9" s="22">
        <v>147256</v>
      </c>
      <c r="U9" s="23" t="s">
        <v>45</v>
      </c>
      <c r="V9" s="10">
        <v>5000</v>
      </c>
      <c r="W9">
        <v>7.05</v>
      </c>
      <c r="X9" s="12">
        <f t="shared" si="0"/>
        <v>1038.1548</v>
      </c>
      <c r="Y9" s="11">
        <f t="shared" ref="Y9:Y19" si="5">+X9*1.19</f>
        <v>1235.4042119999999</v>
      </c>
      <c r="Z9" s="9" t="s">
        <v>52</v>
      </c>
      <c r="AA9" s="10">
        <f t="shared" si="2"/>
        <v>86.512900000000002</v>
      </c>
      <c r="AB9" s="10">
        <f t="shared" ref="AB9:AB19" si="6">+AA9*1.19</f>
        <v>102.950351</v>
      </c>
      <c r="AC9" s="24" t="s">
        <v>31</v>
      </c>
      <c r="AD9" s="9" t="s">
        <v>87</v>
      </c>
      <c r="AE9" s="9" t="s">
        <v>45</v>
      </c>
      <c r="AF9" s="9" t="s">
        <v>45</v>
      </c>
      <c r="AG9" s="9" t="s">
        <v>88</v>
      </c>
      <c r="AH9" s="13">
        <v>45447</v>
      </c>
      <c r="AI9" s="13">
        <v>47209</v>
      </c>
      <c r="AJ9" s="25">
        <v>45447</v>
      </c>
      <c r="AK9" s="9" t="s">
        <v>45</v>
      </c>
      <c r="AL9" s="9" t="s">
        <v>45</v>
      </c>
      <c r="AM9" s="9" t="s">
        <v>45</v>
      </c>
      <c r="AN9" s="18">
        <f t="shared" si="4"/>
        <v>596.93901000000005</v>
      </c>
      <c r="AO9" s="5"/>
    </row>
    <row r="10" spans="1:41" ht="12.75" customHeight="1" x14ac:dyDescent="0.25">
      <c r="A10" t="s">
        <v>39</v>
      </c>
      <c r="B10" t="s">
        <v>45</v>
      </c>
      <c r="C10" s="1" t="s">
        <v>40</v>
      </c>
      <c r="D10" s="1" t="s">
        <v>41</v>
      </c>
      <c r="E10" s="1" t="s">
        <v>42</v>
      </c>
      <c r="F10" s="1">
        <v>8</v>
      </c>
      <c r="G10" s="1">
        <v>92364</v>
      </c>
      <c r="H10" s="1" t="s">
        <v>43</v>
      </c>
      <c r="I10" s="1" t="s">
        <v>44</v>
      </c>
      <c r="J10" s="1" t="s">
        <v>45</v>
      </c>
      <c r="K10">
        <v>665281</v>
      </c>
      <c r="L10"/>
      <c r="M10" s="1" t="s">
        <v>47</v>
      </c>
      <c r="N10" s="1" t="s">
        <v>48</v>
      </c>
      <c r="O10" s="1" t="s">
        <v>49</v>
      </c>
      <c r="P10" s="1" t="s">
        <v>46</v>
      </c>
      <c r="Q10" s="1" t="s">
        <v>59</v>
      </c>
      <c r="R10" s="1" t="s">
        <v>61</v>
      </c>
      <c r="S10" s="31">
        <v>2024</v>
      </c>
      <c r="T10" s="22">
        <v>147256</v>
      </c>
      <c r="U10" s="23" t="s">
        <v>45</v>
      </c>
      <c r="V10" s="10">
        <v>5000</v>
      </c>
      <c r="W10">
        <v>7.05</v>
      </c>
      <c r="X10" s="12">
        <f t="shared" si="0"/>
        <v>1038.1548</v>
      </c>
      <c r="Y10" s="11">
        <f t="shared" si="5"/>
        <v>1235.4042119999999</v>
      </c>
      <c r="Z10" s="9" t="s">
        <v>52</v>
      </c>
      <c r="AA10" s="10">
        <f t="shared" si="2"/>
        <v>86.512900000000002</v>
      </c>
      <c r="AB10" s="10">
        <f t="shared" si="6"/>
        <v>102.950351</v>
      </c>
      <c r="AC10" s="24" t="s">
        <v>31</v>
      </c>
      <c r="AD10" s="9" t="s">
        <v>87</v>
      </c>
      <c r="AE10" s="9" t="s">
        <v>45</v>
      </c>
      <c r="AF10" s="9" t="s">
        <v>45</v>
      </c>
      <c r="AG10" s="9" t="s">
        <v>88</v>
      </c>
      <c r="AH10" s="13">
        <v>45447</v>
      </c>
      <c r="AI10" s="13">
        <v>47209</v>
      </c>
      <c r="AJ10" s="25">
        <v>45447</v>
      </c>
      <c r="AK10" s="9" t="s">
        <v>45</v>
      </c>
      <c r="AL10" s="9" t="s">
        <v>45</v>
      </c>
      <c r="AM10" s="9" t="s">
        <v>45</v>
      </c>
      <c r="AN10" s="18">
        <f t="shared" si="4"/>
        <v>596.93901000000005</v>
      </c>
      <c r="AO10" s="5"/>
    </row>
    <row r="11" spans="1:41" ht="12.75" customHeight="1" x14ac:dyDescent="0.25">
      <c r="A11" t="s">
        <v>39</v>
      </c>
      <c r="B11" t="s">
        <v>45</v>
      </c>
      <c r="C11" s="1" t="s">
        <v>40</v>
      </c>
      <c r="D11" s="1" t="s">
        <v>41</v>
      </c>
      <c r="E11" s="1" t="s">
        <v>42</v>
      </c>
      <c r="F11" s="1">
        <v>8</v>
      </c>
      <c r="G11" s="1">
        <v>92364</v>
      </c>
      <c r="H11" s="1" t="s">
        <v>43</v>
      </c>
      <c r="I11" s="1" t="s">
        <v>44</v>
      </c>
      <c r="J11" s="1" t="s">
        <v>45</v>
      </c>
      <c r="K11">
        <v>665281</v>
      </c>
      <c r="L11"/>
      <c r="M11" s="1" t="s">
        <v>47</v>
      </c>
      <c r="N11" s="1" t="s">
        <v>48</v>
      </c>
      <c r="O11" s="1" t="s">
        <v>49</v>
      </c>
      <c r="P11" s="1" t="s">
        <v>46</v>
      </c>
      <c r="Q11" s="1" t="s">
        <v>59</v>
      </c>
      <c r="R11" s="1" t="s">
        <v>62</v>
      </c>
      <c r="S11" s="31">
        <v>2024</v>
      </c>
      <c r="T11" s="22">
        <v>147256</v>
      </c>
      <c r="U11" s="23" t="s">
        <v>45</v>
      </c>
      <c r="V11" s="10">
        <v>5000</v>
      </c>
      <c r="W11">
        <v>7.05</v>
      </c>
      <c r="X11" s="12">
        <f t="shared" si="0"/>
        <v>1038.1548</v>
      </c>
      <c r="Y11" s="11">
        <f t="shared" si="5"/>
        <v>1235.4042119999999</v>
      </c>
      <c r="Z11" s="9" t="s">
        <v>52</v>
      </c>
      <c r="AA11" s="10">
        <f t="shared" si="2"/>
        <v>86.512900000000002</v>
      </c>
      <c r="AB11" s="10">
        <f t="shared" si="6"/>
        <v>102.950351</v>
      </c>
      <c r="AC11" s="24" t="s">
        <v>31</v>
      </c>
      <c r="AD11" s="9" t="s">
        <v>87</v>
      </c>
      <c r="AE11" s="9" t="s">
        <v>45</v>
      </c>
      <c r="AF11" s="9" t="s">
        <v>45</v>
      </c>
      <c r="AG11" s="9" t="s">
        <v>88</v>
      </c>
      <c r="AH11" s="13">
        <v>45447</v>
      </c>
      <c r="AI11" s="13">
        <v>47209</v>
      </c>
      <c r="AJ11" s="25">
        <v>45447</v>
      </c>
      <c r="AK11" s="9" t="s">
        <v>45</v>
      </c>
      <c r="AL11" s="9" t="s">
        <v>45</v>
      </c>
      <c r="AM11" s="9" t="s">
        <v>45</v>
      </c>
      <c r="AN11" s="18">
        <f t="shared" si="4"/>
        <v>596.93901000000005</v>
      </c>
      <c r="AO11" s="5"/>
    </row>
    <row r="12" spans="1:41" ht="12.75" customHeight="1" x14ac:dyDescent="0.25">
      <c r="A12" t="s">
        <v>39</v>
      </c>
      <c r="B12" t="s">
        <v>45</v>
      </c>
      <c r="C12" s="1" t="s">
        <v>40</v>
      </c>
      <c r="D12" s="1" t="s">
        <v>41</v>
      </c>
      <c r="E12" s="1" t="s">
        <v>42</v>
      </c>
      <c r="F12" s="1">
        <v>8</v>
      </c>
      <c r="G12" s="1">
        <v>92364</v>
      </c>
      <c r="H12" s="1" t="s">
        <v>43</v>
      </c>
      <c r="I12" s="1" t="s">
        <v>44</v>
      </c>
      <c r="J12" s="1" t="s">
        <v>45</v>
      </c>
      <c r="K12">
        <v>665281</v>
      </c>
      <c r="L12"/>
      <c r="M12" s="1" t="s">
        <v>47</v>
      </c>
      <c r="N12" s="1" t="s">
        <v>48</v>
      </c>
      <c r="O12" s="1" t="s">
        <v>49</v>
      </c>
      <c r="P12" s="1" t="s">
        <v>46</v>
      </c>
      <c r="Q12" s="1" t="s">
        <v>59</v>
      </c>
      <c r="R12" s="1" t="s">
        <v>63</v>
      </c>
      <c r="S12" s="31">
        <v>2024</v>
      </c>
      <c r="T12" s="22">
        <v>147256</v>
      </c>
      <c r="U12" s="23" t="s">
        <v>45</v>
      </c>
      <c r="V12" s="10">
        <v>5000</v>
      </c>
      <c r="W12">
        <v>7.05</v>
      </c>
      <c r="X12" s="12">
        <f t="shared" si="0"/>
        <v>1038.1548</v>
      </c>
      <c r="Y12" s="11">
        <f t="shared" si="5"/>
        <v>1235.4042119999999</v>
      </c>
      <c r="Z12" s="9" t="s">
        <v>52</v>
      </c>
      <c r="AA12" s="10">
        <f t="shared" si="2"/>
        <v>86.512900000000002</v>
      </c>
      <c r="AB12" s="10">
        <f t="shared" si="6"/>
        <v>102.950351</v>
      </c>
      <c r="AC12" s="24" t="s">
        <v>31</v>
      </c>
      <c r="AD12" s="9" t="s">
        <v>87</v>
      </c>
      <c r="AE12" s="9" t="s">
        <v>45</v>
      </c>
      <c r="AF12" s="9" t="s">
        <v>45</v>
      </c>
      <c r="AG12" s="9" t="s">
        <v>88</v>
      </c>
      <c r="AH12" s="13">
        <v>45447</v>
      </c>
      <c r="AI12" s="13">
        <v>47209</v>
      </c>
      <c r="AJ12" s="25">
        <v>45447</v>
      </c>
      <c r="AK12" s="9" t="s">
        <v>45</v>
      </c>
      <c r="AL12" s="9" t="s">
        <v>45</v>
      </c>
      <c r="AM12" s="9" t="s">
        <v>45</v>
      </c>
      <c r="AN12" s="18">
        <f t="shared" si="4"/>
        <v>596.93901000000005</v>
      </c>
      <c r="AO12" s="5"/>
    </row>
    <row r="13" spans="1:41" ht="12.75" customHeight="1" x14ac:dyDescent="0.25">
      <c r="A13" t="s">
        <v>39</v>
      </c>
      <c r="B13" t="s">
        <v>45</v>
      </c>
      <c r="C13" s="1" t="s">
        <v>40</v>
      </c>
      <c r="D13" s="1" t="s">
        <v>41</v>
      </c>
      <c r="E13" s="1" t="s">
        <v>42</v>
      </c>
      <c r="F13" s="1">
        <v>8</v>
      </c>
      <c r="G13" s="1">
        <v>92364</v>
      </c>
      <c r="H13" s="1" t="s">
        <v>43</v>
      </c>
      <c r="I13" s="1" t="s">
        <v>44</v>
      </c>
      <c r="J13" s="1" t="s">
        <v>45</v>
      </c>
      <c r="K13">
        <v>665281</v>
      </c>
      <c r="L13"/>
      <c r="M13" s="1" t="s">
        <v>47</v>
      </c>
      <c r="N13" s="1" t="s">
        <v>48</v>
      </c>
      <c r="O13" s="1" t="s">
        <v>49</v>
      </c>
      <c r="P13" s="1" t="s">
        <v>46</v>
      </c>
      <c r="Q13" s="1" t="s">
        <v>59</v>
      </c>
      <c r="R13" s="1" t="s">
        <v>64</v>
      </c>
      <c r="S13" s="31">
        <v>2024</v>
      </c>
      <c r="T13" s="22">
        <v>147256</v>
      </c>
      <c r="U13" s="23" t="s">
        <v>45</v>
      </c>
      <c r="V13" s="10">
        <v>5000</v>
      </c>
      <c r="W13">
        <v>7.05</v>
      </c>
      <c r="X13" s="12">
        <f t="shared" si="0"/>
        <v>1038.1548</v>
      </c>
      <c r="Y13" s="11">
        <f t="shared" si="5"/>
        <v>1235.4042119999999</v>
      </c>
      <c r="Z13" s="9" t="s">
        <v>52</v>
      </c>
      <c r="AA13" s="10">
        <f t="shared" si="2"/>
        <v>86.512900000000002</v>
      </c>
      <c r="AB13" s="10">
        <f t="shared" si="6"/>
        <v>102.950351</v>
      </c>
      <c r="AC13" s="24" t="s">
        <v>31</v>
      </c>
      <c r="AD13" s="9" t="s">
        <v>87</v>
      </c>
      <c r="AE13" s="9" t="s">
        <v>45</v>
      </c>
      <c r="AF13" s="9" t="s">
        <v>45</v>
      </c>
      <c r="AG13" s="9" t="s">
        <v>88</v>
      </c>
      <c r="AH13" s="13">
        <v>45447</v>
      </c>
      <c r="AI13" s="13">
        <v>47209</v>
      </c>
      <c r="AJ13" s="25">
        <v>45447</v>
      </c>
      <c r="AK13" s="9" t="s">
        <v>45</v>
      </c>
      <c r="AL13" s="9" t="s">
        <v>45</v>
      </c>
      <c r="AM13" s="9" t="s">
        <v>45</v>
      </c>
      <c r="AN13" s="18">
        <f t="shared" si="4"/>
        <v>596.93901000000005</v>
      </c>
      <c r="AO13" s="5"/>
    </row>
    <row r="14" spans="1:41" ht="37.5" x14ac:dyDescent="0.25">
      <c r="A14" t="s">
        <v>39</v>
      </c>
      <c r="B14" t="s">
        <v>45</v>
      </c>
      <c r="C14" s="1" t="s">
        <v>40</v>
      </c>
      <c r="D14" s="1" t="s">
        <v>41</v>
      </c>
      <c r="E14" s="1" t="s">
        <v>42</v>
      </c>
      <c r="F14" s="1">
        <v>8</v>
      </c>
      <c r="G14" s="1">
        <v>92364</v>
      </c>
      <c r="H14" s="1" t="s">
        <v>43</v>
      </c>
      <c r="I14" s="1" t="s">
        <v>44</v>
      </c>
      <c r="J14" s="1" t="s">
        <v>45</v>
      </c>
      <c r="K14">
        <v>665281</v>
      </c>
      <c r="L14"/>
      <c r="M14" s="1" t="s">
        <v>47</v>
      </c>
      <c r="N14" s="23" t="s">
        <v>65</v>
      </c>
      <c r="O14" s="1" t="s">
        <v>49</v>
      </c>
      <c r="P14" s="1" t="s">
        <v>46</v>
      </c>
      <c r="Q14" s="26" t="s">
        <v>66</v>
      </c>
      <c r="R14" s="26" t="s">
        <v>81</v>
      </c>
      <c r="S14" s="26" t="s">
        <v>68</v>
      </c>
      <c r="T14" s="27">
        <v>350000</v>
      </c>
      <c r="U14" s="23" t="s">
        <v>45</v>
      </c>
      <c r="V14" s="10">
        <v>5000</v>
      </c>
      <c r="W14" s="1">
        <v>9</v>
      </c>
      <c r="X14" s="12">
        <f t="shared" si="0"/>
        <v>3149.9999999999995</v>
      </c>
      <c r="Y14" s="11">
        <f t="shared" si="5"/>
        <v>3748.4999999999991</v>
      </c>
      <c r="Z14" s="9" t="s">
        <v>52</v>
      </c>
      <c r="AA14" s="10">
        <f t="shared" si="2"/>
        <v>262.49999999999994</v>
      </c>
      <c r="AB14" s="10">
        <f t="shared" si="6"/>
        <v>312.37499999999994</v>
      </c>
      <c r="AC14" s="24" t="s">
        <v>31</v>
      </c>
      <c r="AD14" s="9" t="s">
        <v>87</v>
      </c>
      <c r="AE14" s="9" t="s">
        <v>45</v>
      </c>
      <c r="AF14" s="9" t="s">
        <v>45</v>
      </c>
      <c r="AG14" s="9" t="s">
        <v>88</v>
      </c>
      <c r="AH14" s="13">
        <v>45460</v>
      </c>
      <c r="AI14" s="35" t="s">
        <v>100</v>
      </c>
      <c r="AJ14" s="32" t="s">
        <v>82</v>
      </c>
      <c r="AK14" s="1" t="s">
        <v>45</v>
      </c>
      <c r="AL14" s="1" t="s">
        <v>45</v>
      </c>
      <c r="AM14" s="1" t="s">
        <v>45</v>
      </c>
      <c r="AN14" s="18">
        <f t="shared" si="4"/>
        <v>1697.4999999999995</v>
      </c>
      <c r="AO14" s="5"/>
    </row>
    <row r="15" spans="1:41" ht="37.5" x14ac:dyDescent="0.25">
      <c r="A15" t="s">
        <v>39</v>
      </c>
      <c r="B15" t="s">
        <v>45</v>
      </c>
      <c r="C15" s="1" t="s">
        <v>40</v>
      </c>
      <c r="D15" s="1" t="s">
        <v>41</v>
      </c>
      <c r="E15" s="1" t="s">
        <v>42</v>
      </c>
      <c r="F15" s="1">
        <v>8</v>
      </c>
      <c r="G15" s="1">
        <v>92364</v>
      </c>
      <c r="H15" s="1" t="s">
        <v>43</v>
      </c>
      <c r="I15" s="1" t="s">
        <v>44</v>
      </c>
      <c r="J15" s="1" t="s">
        <v>45</v>
      </c>
      <c r="K15">
        <v>665281</v>
      </c>
      <c r="L15"/>
      <c r="M15" s="1" t="s">
        <v>47</v>
      </c>
      <c r="N15" s="23" t="s">
        <v>65</v>
      </c>
      <c r="O15" s="1" t="s">
        <v>49</v>
      </c>
      <c r="P15" s="1" t="s">
        <v>46</v>
      </c>
      <c r="Q15" s="26" t="s">
        <v>69</v>
      </c>
      <c r="R15" s="26" t="s">
        <v>67</v>
      </c>
      <c r="S15" s="26" t="s">
        <v>68</v>
      </c>
      <c r="T15" s="27">
        <v>348090</v>
      </c>
      <c r="U15" s="23" t="s">
        <v>45</v>
      </c>
      <c r="V15" s="10">
        <v>5000</v>
      </c>
      <c r="W15" s="1">
        <v>9</v>
      </c>
      <c r="X15" s="12">
        <f t="shared" si="0"/>
        <v>3132.81</v>
      </c>
      <c r="Y15" s="11">
        <f t="shared" si="5"/>
        <v>3728.0438999999997</v>
      </c>
      <c r="Z15" s="9" t="s">
        <v>52</v>
      </c>
      <c r="AA15" s="10">
        <f t="shared" si="2"/>
        <v>261.0675</v>
      </c>
      <c r="AB15" s="10">
        <f t="shared" si="6"/>
        <v>310.67032499999999</v>
      </c>
      <c r="AC15" s="24" t="s">
        <v>31</v>
      </c>
      <c r="AD15" s="9" t="s">
        <v>87</v>
      </c>
      <c r="AE15" s="9" t="s">
        <v>45</v>
      </c>
      <c r="AF15" s="9" t="s">
        <v>45</v>
      </c>
      <c r="AG15" s="9" t="s">
        <v>88</v>
      </c>
      <c r="AH15" s="13" t="s">
        <v>45</v>
      </c>
      <c r="AI15" s="13" t="s">
        <v>45</v>
      </c>
      <c r="AJ15" s="1" t="s">
        <v>45</v>
      </c>
      <c r="AK15" s="1" t="s">
        <v>45</v>
      </c>
      <c r="AL15" s="1" t="s">
        <v>45</v>
      </c>
      <c r="AM15" s="1" t="s">
        <v>45</v>
      </c>
      <c r="AN15" s="18" t="str">
        <f t="shared" si="4"/>
        <v>-</v>
      </c>
      <c r="AO15" s="5"/>
    </row>
    <row r="16" spans="1:41" ht="50" x14ac:dyDescent="0.25">
      <c r="A16" s="9" t="s">
        <v>70</v>
      </c>
      <c r="B16" s="28" t="s">
        <v>71</v>
      </c>
      <c r="C16" s="1" t="s">
        <v>40</v>
      </c>
      <c r="D16" s="1" t="s">
        <v>41</v>
      </c>
      <c r="E16" s="5" t="s">
        <v>72</v>
      </c>
      <c r="F16" s="5">
        <v>33</v>
      </c>
      <c r="G16" s="5">
        <v>39261</v>
      </c>
      <c r="H16" s="5" t="s">
        <v>73</v>
      </c>
      <c r="I16" s="1" t="s">
        <v>44</v>
      </c>
      <c r="J16" s="1" t="s">
        <v>45</v>
      </c>
      <c r="K16" s="5">
        <v>777144</v>
      </c>
      <c r="L16" s="5"/>
      <c r="M16" s="5" t="s">
        <v>74</v>
      </c>
      <c r="N16" s="5" t="s">
        <v>48</v>
      </c>
      <c r="O16" s="1" t="s">
        <v>49</v>
      </c>
      <c r="P16" s="1" t="s">
        <v>46</v>
      </c>
      <c r="Q16" s="7" t="s">
        <v>50</v>
      </c>
      <c r="R16" s="7" t="s">
        <v>95</v>
      </c>
      <c r="S16" s="8" t="s">
        <v>51</v>
      </c>
      <c r="T16" s="11">
        <v>549796</v>
      </c>
      <c r="U16" s="23" t="s">
        <v>45</v>
      </c>
      <c r="V16" s="10">
        <v>5000</v>
      </c>
      <c r="W16">
        <v>7.95</v>
      </c>
      <c r="X16" s="12">
        <f t="shared" si="0"/>
        <v>4370.8782000000001</v>
      </c>
      <c r="Y16" s="11">
        <f t="shared" si="5"/>
        <v>5201.3450579999999</v>
      </c>
      <c r="Z16" s="9" t="s">
        <v>52</v>
      </c>
      <c r="AA16" s="10">
        <f t="shared" si="2"/>
        <v>364.23984999999999</v>
      </c>
      <c r="AB16" s="10">
        <f t="shared" si="6"/>
        <v>433.44542149999995</v>
      </c>
      <c r="AC16" s="24" t="s">
        <v>31</v>
      </c>
      <c r="AD16" s="9" t="s">
        <v>98</v>
      </c>
      <c r="AE16" s="9" t="s">
        <v>45</v>
      </c>
      <c r="AF16" s="9" t="s">
        <v>45</v>
      </c>
      <c r="AG16" s="9" t="s">
        <v>99</v>
      </c>
      <c r="AH16" s="35">
        <v>45474</v>
      </c>
      <c r="AI16" s="13">
        <v>47270</v>
      </c>
      <c r="AJ16" s="35">
        <v>45503</v>
      </c>
      <c r="AK16" s="1" t="s">
        <v>45</v>
      </c>
      <c r="AL16" s="1" t="s">
        <v>45</v>
      </c>
      <c r="AM16" s="1" t="s">
        <v>45</v>
      </c>
      <c r="AN16" s="12">
        <f>+IFERROR(X16/360*DAYS360(AH16,DATE(YEAR(AH16)+1,1,1)),"-")</f>
        <v>2185.4391000000001</v>
      </c>
      <c r="AO16" s="5"/>
    </row>
    <row r="17" spans="1:41" ht="50" x14ac:dyDescent="0.25">
      <c r="A17" s="9" t="s">
        <v>70</v>
      </c>
      <c r="B17" s="28" t="s">
        <v>71</v>
      </c>
      <c r="C17" s="1" t="s">
        <v>40</v>
      </c>
      <c r="D17" s="1" t="s">
        <v>41</v>
      </c>
      <c r="E17" s="5" t="s">
        <v>72</v>
      </c>
      <c r="F17" s="5">
        <v>33</v>
      </c>
      <c r="G17" s="5">
        <v>39261</v>
      </c>
      <c r="H17" s="5" t="s">
        <v>73</v>
      </c>
      <c r="I17" s="23" t="s">
        <v>44</v>
      </c>
      <c r="J17" s="1" t="s">
        <v>45</v>
      </c>
      <c r="K17" s="5">
        <v>777144</v>
      </c>
      <c r="L17" s="5"/>
      <c r="M17" s="5" t="s">
        <v>74</v>
      </c>
      <c r="N17" s="5" t="s">
        <v>48</v>
      </c>
      <c r="O17" s="1" t="s">
        <v>49</v>
      </c>
      <c r="P17" s="1" t="s">
        <v>46</v>
      </c>
      <c r="Q17" s="7" t="s">
        <v>50</v>
      </c>
      <c r="R17" s="7" t="s">
        <v>97</v>
      </c>
      <c r="S17" s="8" t="s">
        <v>51</v>
      </c>
      <c r="T17" s="11">
        <v>549796</v>
      </c>
      <c r="U17" s="23" t="s">
        <v>45</v>
      </c>
      <c r="V17" s="10">
        <v>5000</v>
      </c>
      <c r="W17">
        <v>7.95</v>
      </c>
      <c r="X17" s="12">
        <f t="shared" si="0"/>
        <v>4370.8782000000001</v>
      </c>
      <c r="Y17" s="11">
        <f t="shared" si="5"/>
        <v>5201.3450579999999</v>
      </c>
      <c r="Z17" s="9" t="s">
        <v>52</v>
      </c>
      <c r="AA17" s="10">
        <f t="shared" si="2"/>
        <v>364.23984999999999</v>
      </c>
      <c r="AB17" s="10">
        <f t="shared" si="6"/>
        <v>433.44542149999995</v>
      </c>
      <c r="AC17" s="24" t="s">
        <v>31</v>
      </c>
      <c r="AD17" s="9" t="s">
        <v>98</v>
      </c>
      <c r="AE17" s="9" t="s">
        <v>45</v>
      </c>
      <c r="AF17" s="9" t="s">
        <v>45</v>
      </c>
      <c r="AG17" s="9" t="s">
        <v>99</v>
      </c>
      <c r="AH17" s="13"/>
      <c r="AI17" s="13">
        <v>47270</v>
      </c>
      <c r="AJ17" s="35">
        <v>45491</v>
      </c>
      <c r="AK17" s="1" t="s">
        <v>45</v>
      </c>
      <c r="AL17" s="1" t="s">
        <v>45</v>
      </c>
      <c r="AM17" s="1" t="s">
        <v>45</v>
      </c>
      <c r="AN17" s="12">
        <f>+IFERROR(X17/360*DAYS360(AH17,DATE(YEAR(AH17)+1,1,1)),"-")</f>
        <v>4383.0195283333333</v>
      </c>
      <c r="AO17" s="5"/>
    </row>
    <row r="18" spans="1:41" ht="50" x14ac:dyDescent="0.25">
      <c r="A18" s="9" t="s">
        <v>70</v>
      </c>
      <c r="B18" s="28" t="s">
        <v>71</v>
      </c>
      <c r="C18" s="5" t="s">
        <v>40</v>
      </c>
      <c r="D18" s="5" t="s">
        <v>41</v>
      </c>
      <c r="E18" s="5" t="s">
        <v>72</v>
      </c>
      <c r="F18" s="5">
        <v>33</v>
      </c>
      <c r="G18" s="5">
        <v>39261</v>
      </c>
      <c r="H18" s="5" t="s">
        <v>73</v>
      </c>
      <c r="I18" s="5" t="s">
        <v>44</v>
      </c>
      <c r="J18" s="5" t="s">
        <v>45</v>
      </c>
      <c r="K18" s="5">
        <v>777144</v>
      </c>
      <c r="L18" s="5"/>
      <c r="M18" s="5" t="s">
        <v>74</v>
      </c>
      <c r="N18" s="5" t="s">
        <v>48</v>
      </c>
      <c r="O18" s="5" t="s">
        <v>49</v>
      </c>
      <c r="P18" s="5" t="s">
        <v>46</v>
      </c>
      <c r="Q18" s="7" t="s">
        <v>50</v>
      </c>
      <c r="R18" s="30" t="s">
        <v>96</v>
      </c>
      <c r="S18" s="7" t="s">
        <v>51</v>
      </c>
      <c r="T18" s="6">
        <v>549796</v>
      </c>
      <c r="U18" s="5" t="s">
        <v>45</v>
      </c>
      <c r="V18" s="10">
        <v>5000</v>
      </c>
      <c r="W18" s="5">
        <v>7.95</v>
      </c>
      <c r="X18" s="12">
        <f t="shared" si="0"/>
        <v>4370.8782000000001</v>
      </c>
      <c r="Y18" s="11">
        <f t="shared" si="5"/>
        <v>5201.3450579999999</v>
      </c>
      <c r="Z18" s="9" t="s">
        <v>52</v>
      </c>
      <c r="AA18" s="10">
        <f t="shared" si="2"/>
        <v>364.23984999999999</v>
      </c>
      <c r="AB18" s="10">
        <f t="shared" si="6"/>
        <v>433.44542149999995</v>
      </c>
      <c r="AC18" s="5" t="s">
        <v>31</v>
      </c>
      <c r="AD18" s="9" t="s">
        <v>98</v>
      </c>
      <c r="AE18" s="5" t="s">
        <v>45</v>
      </c>
      <c r="AF18" s="5" t="s">
        <v>45</v>
      </c>
      <c r="AG18" s="9" t="s">
        <v>99</v>
      </c>
      <c r="AH18" s="13"/>
      <c r="AI18" s="13">
        <v>47270</v>
      </c>
      <c r="AJ18" s="37">
        <v>45495</v>
      </c>
      <c r="AK18" s="29" t="s">
        <v>45</v>
      </c>
      <c r="AL18" s="29" t="s">
        <v>45</v>
      </c>
      <c r="AM18" s="29" t="s">
        <v>45</v>
      </c>
      <c r="AN18" s="12">
        <f>+IFERROR(X18/360*DAYS360(AH18,DATE(YEAR(AH18)+1,1,1)),"-")</f>
        <v>4383.0195283333333</v>
      </c>
      <c r="AO18" s="5"/>
    </row>
    <row r="19" spans="1:41" ht="50" x14ac:dyDescent="0.25">
      <c r="A19" s="9" t="s">
        <v>76</v>
      </c>
      <c r="B19" s="9" t="s">
        <v>75</v>
      </c>
      <c r="C19" s="5" t="s">
        <v>45</v>
      </c>
      <c r="D19" s="5" t="s">
        <v>45</v>
      </c>
      <c r="E19" s="5" t="s">
        <v>77</v>
      </c>
      <c r="F19" s="5">
        <v>4</v>
      </c>
      <c r="G19" s="5">
        <v>91628</v>
      </c>
      <c r="H19" s="5" t="s">
        <v>78</v>
      </c>
      <c r="I19" s="5" t="s">
        <v>80</v>
      </c>
      <c r="J19" s="5" t="s">
        <v>45</v>
      </c>
      <c r="K19" s="34" t="s">
        <v>85</v>
      </c>
      <c r="L19" s="5"/>
      <c r="M19" s="5" t="s">
        <v>74</v>
      </c>
      <c r="N19" s="5" t="s">
        <v>48</v>
      </c>
      <c r="O19" s="5" t="s">
        <v>49</v>
      </c>
      <c r="P19" s="5" t="s">
        <v>46</v>
      </c>
      <c r="Q19" s="7" t="s">
        <v>79</v>
      </c>
      <c r="R19" s="30" t="s">
        <v>58</v>
      </c>
      <c r="S19" s="7" t="s">
        <v>51</v>
      </c>
      <c r="T19" s="6">
        <v>468500</v>
      </c>
      <c r="U19" s="5" t="s">
        <v>45</v>
      </c>
      <c r="V19" s="10">
        <v>1000</v>
      </c>
      <c r="W19" s="5">
        <v>10.6</v>
      </c>
      <c r="X19" s="12">
        <f t="shared" si="0"/>
        <v>4966.1000000000004</v>
      </c>
      <c r="Y19" s="11">
        <f t="shared" si="5"/>
        <v>5909.6590000000006</v>
      </c>
      <c r="Z19" s="9" t="s">
        <v>52</v>
      </c>
      <c r="AA19" s="10">
        <f t="shared" si="2"/>
        <v>413.8416666666667</v>
      </c>
      <c r="AB19" s="10">
        <f t="shared" si="6"/>
        <v>492.47158333333334</v>
      </c>
      <c r="AC19" s="5" t="s">
        <v>31</v>
      </c>
      <c r="AD19" s="5" t="s">
        <v>45</v>
      </c>
      <c r="AE19" s="5" t="s">
        <v>45</v>
      </c>
      <c r="AF19" s="5" t="s">
        <v>45</v>
      </c>
      <c r="AG19" s="5" t="s">
        <v>45</v>
      </c>
      <c r="AH19" s="13" t="s">
        <v>45</v>
      </c>
      <c r="AI19" s="13" t="s">
        <v>45</v>
      </c>
      <c r="AJ19" s="29" t="s">
        <v>45</v>
      </c>
      <c r="AK19" s="29" t="s">
        <v>45</v>
      </c>
      <c r="AL19" s="29" t="s">
        <v>45</v>
      </c>
      <c r="AM19" s="29" t="s">
        <v>45</v>
      </c>
      <c r="AN19" s="12" t="str">
        <f>+IFERROR(X19/360*DAYS360(AH19,DATE(YEAR(AH19)+1,1,1)),"-")</f>
        <v>-</v>
      </c>
      <c r="AO19" s="5"/>
    </row>
    <row r="20" spans="1:41" ht="12.5" customHeight="1" x14ac:dyDescent="0.25"/>
    <row r="21" spans="1:41" ht="11.5" customHeight="1" x14ac:dyDescent="0.25"/>
  </sheetData>
  <phoneticPr fontId="2" type="noConversion"/>
  <dataValidations count="2">
    <dataValidation type="list" allowBlank="1" showInputMessage="1" showErrorMessage="1" sqref="M1 M16:M65536" xr:uid="{00000000-0002-0000-0100-000000000000}">
      <formula1>"Ja, Nein "</formula1>
    </dataValidation>
    <dataValidation type="list" allowBlank="1" showInputMessage="1" showErrorMessage="1" sqref="O39:O65536 N16:N65536" xr:uid="{00000000-0002-0000-0100-000001000000}">
      <formula1>"Traktor, Feldhäcksler, Mähdrescher, Sonstige Geräte und Maschinen"</formula1>
    </dataValidation>
  </dataValidations>
  <pageMargins left="0" right="0" top="0" bottom="0" header="0" footer="0"/>
  <pageSetup paperSize="9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Prämie bis Jahresende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Bakircioglu, Aleyna</cp:lastModifiedBy>
  <cp:lastPrinted>2015-12-17T10:23:13Z</cp:lastPrinted>
  <dcterms:created xsi:type="dcterms:W3CDTF">2011-12-08T09:33:18Z</dcterms:created>
  <dcterms:modified xsi:type="dcterms:W3CDTF">2024-08-29T13:34:01Z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2024-07-25T14:33:52Z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d6bec852-e814-4fd3-bd3f-b9debfb36f2f</vt:lpwstr>
  </property>
  <property fmtid="{D5CDD505-2E9C-101B-9397-08002B2CF9AE}" pid="8" name="MSIP_Label_38f1469a-2c2a-4aee-b92b-090d4c5468ff_ContentBits">
    <vt:lpwstr>0</vt:lpwstr>
  </property>
</Properties>
</file>